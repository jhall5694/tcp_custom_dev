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timeclockplus-my.sharepoint.com/personal/jhall_tcpsoftware_com/Documents/Utilities/parse_badge/"/>
    </mc:Choice>
  </mc:AlternateContent>
  <xr:revisionPtr revIDLastSave="3760" documentId="10_ncr:40000_{86A8874C-A10D-4F98-86BA-AC0B6BE9EDB3}" xr6:coauthVersionLast="47" xr6:coauthVersionMax="47" xr10:uidLastSave="{5D8B070C-9F76-4CD3-9ED5-D477B1088987}"/>
  <bookViews>
    <workbookView xWindow="23880" yWindow="-1560" windowWidth="29040" windowHeight="15840" xr2:uid="{00000000-000D-0000-FFFF-FFFF00000000}"/>
  </bookViews>
  <sheets>
    <sheet name="Sheet1" sheetId="1" r:id="rId1"/>
  </sheets>
  <functionGroups builtInGroupCount="19"/>
  <definedNames>
    <definedName name="Editable">Sheet1!$D$3,Sheet1!$G$3,Sheet1!$B$5,Sheet1!$C$5,Sheet1!$D$5,Sheet1!$E$5,Sheet1!$F$5,Sheet1!$G$5,Sheet1!$H$5,Sheet1!$I$5,Sheet1!$J$5,Sheet1!$K$5,Sheet1!$D$14,Sheet1!$G$14,Sheet1!$P$14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7" i="1" l="1"/>
  <c r="K3" i="1" s="1"/>
  <c r="H16" i="1" a="1"/>
  <c r="H16" i="1" l="1"/>
  <c r="B9" i="1"/>
  <c r="H9" i="1" a="1"/>
  <c r="H9" i="1" l="1"/>
  <c r="J18" i="1"/>
  <c r="P18" i="1"/>
  <c r="H18" i="1"/>
  <c r="G18" i="1"/>
  <c r="F18" i="1"/>
  <c r="M18" i="1"/>
  <c r="D18" i="1"/>
  <c r="K18" i="1"/>
  <c r="I18" i="1"/>
  <c r="O18" i="1"/>
  <c r="N18" i="1"/>
  <c r="E18" i="1"/>
  <c r="L18" i="1"/>
  <c r="C18" i="1"/>
  <c r="B18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<sst xmlns="http://schemas.openxmlformats.org/spreadsheetml/2006/main" count="32" uniqueCount="16">
  <si>
    <t>Complete Binary</t>
  </si>
  <si>
    <t>Decimal</t>
  </si>
  <si>
    <t>Decimal to Binary</t>
  </si>
  <si>
    <t>Binary to Decimal</t>
  </si>
  <si>
    <t>Binary number (split)</t>
  </si>
  <si>
    <t>Start -&gt;</t>
  </si>
  <si>
    <t>Length -&gt;</t>
  </si>
  <si>
    <t>Partial Binary</t>
  </si>
  <si>
    <t>0000</t>
  </si>
  <si>
    <t>0</t>
  </si>
  <si>
    <t>0111</t>
  </si>
  <si>
    <t>Total Length -&gt;</t>
  </si>
  <si>
    <t/>
  </si>
  <si>
    <t>\</t>
  </si>
  <si>
    <t>Desired total binary length -&gt;</t>
  </si>
  <si>
    <t>1011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</si>
</sst>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9E1F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1">
    <xf numFmtId="0" fontId="0" fillId="0" borderId="0" xfId="0"/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0" fillId="2" borderId="0" xfId="0" applyFill="1" applyAlignment="1">
      <alignment horizontal="center" vertical="center"/>
    </xf>
    <xf numFmtId="49" fontId="0" fillId="2" borderId="0" xfId="0" applyNumberFormat="1" applyFill="1" applyAlignment="1">
      <alignment horizontal="center" vertical="center"/>
    </xf>
    <xf numFmtId="49" fontId="0" fillId="2" borderId="0" xfId="0" applyNumberFormat="1" applyFill="1" applyAlignment="1">
      <alignment vertical="center"/>
    </xf>
    <xf numFmtId="49" fontId="0" fillId="2" borderId="6" xfId="0" applyNumberFormat="1" applyFill="1" applyBorder="1" applyAlignment="1">
      <alignment vertical="center"/>
    </xf>
    <xf numFmtId="49" fontId="0" fillId="2" borderId="7" xfId="0" applyNumberFormat="1" applyFill="1" applyBorder="1" applyAlignment="1">
      <alignment vertical="center"/>
    </xf>
    <xf numFmtId="49" fontId="0" fillId="6" borderId="1" xfId="0" applyNumberFormat="1" applyFill="1" applyBorder="1" applyAlignment="1">
      <alignment horizontal="center" vertical="center"/>
    </xf>
    <xf numFmtId="0" fontId="0" fillId="8" borderId="10" xfId="0" applyFill="1" applyBorder="1" applyAlignment="1">
      <alignment horizontal="center" vertical="center"/>
    </xf>
    <xf numFmtId="0" fontId="0" fillId="9" borderId="8" xfId="0" applyFill="1" applyBorder="1" applyAlignment="1">
      <alignment horizontal="center" vertical="center"/>
    </xf>
    <xf numFmtId="0" fontId="0" fillId="9" borderId="9" xfId="0" applyFill="1" applyBorder="1" applyAlignment="1">
      <alignment horizontal="center" vertical="center"/>
    </xf>
    <xf numFmtId="0" fontId="0" fillId="9" borderId="10" xfId="0" applyFill="1" applyBorder="1" applyAlignment="1">
      <alignment horizontal="center" vertical="center"/>
    </xf>
    <xf numFmtId="0" fontId="0" fillId="7" borderId="2" xfId="0" applyFill="1" applyBorder="1" applyAlignment="1">
      <alignment horizontal="center" vertical="center"/>
    </xf>
    <xf numFmtId="0" fontId="0" fillId="7" borderId="3" xfId="0" applyFill="1" applyBorder="1" applyAlignment="1">
      <alignment horizontal="center" vertical="center"/>
    </xf>
    <xf numFmtId="0" fontId="0" fillId="7" borderId="4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0" fontId="0" fillId="3" borderId="9" xfId="0" applyFill="1" applyBorder="1" applyAlignment="1">
      <alignment horizontal="center" vertical="center"/>
    </xf>
    <xf numFmtId="0" fontId="0" fillId="7" borderId="5" xfId="0" applyFill="1" applyBorder="1" applyAlignment="1">
      <alignment horizontal="center" vertical="center"/>
    </xf>
    <xf numFmtId="0" fontId="0" fillId="7" borderId="6" xfId="0" applyFill="1" applyBorder="1" applyAlignment="1">
      <alignment horizontal="center" vertical="center"/>
    </xf>
    <xf numFmtId="0" fontId="0" fillId="7" borderId="7" xfId="0" applyFill="1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0" fontId="0" fillId="4" borderId="8" xfId="0" applyFill="1" applyBorder="1" applyAlignment="1">
      <alignment horizontal="center" vertical="center"/>
    </xf>
    <xf numFmtId="0" fontId="0" fillId="4" borderId="9" xfId="0" applyFill="1" applyBorder="1" applyAlignment="1">
      <alignment horizontal="center" vertical="center"/>
    </xf>
    <xf numFmtId="0" fontId="0" fillId="6" borderId="8" xfId="0" applyFill="1" applyBorder="1" applyAlignment="1">
      <alignment horizontal="center" vertical="center"/>
    </xf>
    <xf numFmtId="0" fontId="0" fillId="6" borderId="9" xfId="0" applyFill="1" applyBorder="1" applyAlignment="1">
      <alignment horizontal="center" vertical="center"/>
    </xf>
    <xf numFmtId="0" fontId="0" fillId="6" borderId="10" xfId="0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0" fontId="0" fillId="6" borderId="5" xfId="0" applyFill="1" applyBorder="1" applyAlignment="1">
      <alignment horizontal="center" vertical="center"/>
    </xf>
    <xf numFmtId="0" fontId="0" fillId="6" borderId="6" xfId="0" applyFill="1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0" fontId="0" fillId="5" borderId="9" xfId="0" applyFill="1" applyBorder="1" applyAlignment="1">
      <alignment horizontal="center" vertical="center"/>
    </xf>
    <xf numFmtId="0" fontId="0" fillId="8" borderId="6" xfId="0" applyFill="1" applyBorder="1" applyAlignment="1">
      <alignment horizontal="center" vertical="center"/>
    </xf>
    <xf numFmtId="0" fontId="0" fillId="8" borderId="7" xfId="0" applyFill="1" applyBorder="1" applyAlignment="1">
      <alignment horizontal="center" vertical="center"/>
    </xf>
    <xf numFmtId="0" fontId="0" fillId="6" borderId="1" xfId="0" applyNumberFormat="1" applyFill="1" applyBorder="1" applyAlignment="1">
      <alignment horizontal="center" vertical="center"/>
    </xf>
    <xf numFmtId="0" fontId="0" fillId="7" borderId="2" xfId="0" applyNumberFormat="1" applyFill="1" applyBorder="1" applyAlignment="1">
      <alignment horizontal="center" vertical="center"/>
    </xf>
    <xf numFmtId="0" fontId="0" fillId="7" borderId="5" xfId="0" applyNumberFormat="1" applyFill="1" applyBorder="1" applyAlignment="1">
      <alignment horizontal="center" vertical="center"/>
    </xf>
    <xf numFmtId="0" fontId="0" fillId="5" borderId="2" xfId="0" applyNumberFormat="1" applyFill="1" applyBorder="1" applyAlignment="1">
      <alignment horizontal="center" vertical="center"/>
    </xf>
    <xf numFmtId="0" fontId="0" fillId="5" borderId="5" xfId="0" applyNumberFormat="1" applyFill="1" applyBorder="1" applyAlignment="1">
      <alignment horizontal="center" vertical="center"/>
    </xf>
    <xf numFmtId="0" fontId="0" fillId="2" borderId="0" xfId="0" applyNumberFormat="1" applyFill="1" applyAlignment="1">
      <alignment horizontal="center" vertical="center"/>
    </xf>
    <xf numFmtId="0" fontId="0" fillId="9" borderId="8" xfId="0" applyNumberFormat="1" applyFill="1" applyBorder="1" applyAlignment="1">
      <alignment horizontal="center" vertical="center"/>
    </xf>
    <xf numFmtId="0" fontId="0" fillId="3" borderId="8" xfId="0" applyNumberFormat="1" applyFill="1" applyBorder="1" applyAlignment="1">
      <alignment horizontal="center" vertical="center"/>
    </xf>
    <xf numFmtId="0" fontId="0" fillId="6" borderId="2" xfId="0" applyNumberFormat="1" applyFill="1" applyBorder="1" applyAlignment="1">
      <alignment horizontal="center" vertical="center"/>
    </xf>
    <xf numFmtId="0" fontId="0" fillId="8" borderId="5" xfId="0" applyNumberFormat="1" applyFill="1" applyBorder="1" applyAlignment="1">
      <alignment horizontal="center" vertical="center"/>
    </xf>
  </cellXfs>
  <cellStyles count="1">
    <cellStyle name="Normal" xfId="0" builtinId="0"/>
  </cellStyles>
  <dxfs count="1">
    <dxf>
      <fill>
        <patternFill>
          <bgColor theme="5" tint="0.39994506668294322"/>
        </patternFill>
      </fill>
    </dxf>
  </dxfs>
  <tableStyles count="0" defaultTableStyle="TableStyleMedium2" defaultPivotStyle="PivotStyleLight16"/>
  <colors>
    <mruColors>
      <color rgb="FFE2EFDA"/>
      <color rgb="FFD9E1F2"/>
      <color rgb="FFFFF2CC"/>
      <color rgb="FFFCE4D6"/>
      <color rgb="FF99FFCC"/>
      <color rgb="FF66FFFF"/>
      <color rgb="FF00FFFF"/>
      <color rgb="FFCCFFFF"/>
      <color rgb="FFFFE699"/>
      <color rgb="FFF0D1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alcChain" Target="calcChain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742950</xdr:colOff>
          <xdr:row>1</xdr:row>
          <xdr:rowOff>9525</xdr:rowOff>
        </xdr:from>
        <xdr:to>
          <xdr:col>21</xdr:col>
          <xdr:colOff>447675</xdr:colOff>
          <xdr:row>18</xdr:row>
          <xdr:rowOff>66675</xdr:rowOff>
        </xdr:to>
        <xdr:sp macro="" textlink="">
          <xdr:nvSpPr>
            <xdr:cNvPr id="1027" name="TextBox1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12</xdr:row>
          <xdr:rowOff>9525</xdr:rowOff>
        </xdr:from>
        <xdr:to>
          <xdr:col>16</xdr:col>
          <xdr:colOff>723900</xdr:colOff>
          <xdr:row>18</xdr:row>
          <xdr:rowOff>19050</xdr:rowOff>
        </xdr:to>
        <xdr:sp macro="" textlink="">
          <xdr:nvSpPr>
            <xdr:cNvPr id="1028" name="btn_send_binary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1</xdr:row>
          <xdr:rowOff>9525</xdr:rowOff>
        </xdr:from>
        <xdr:to>
          <xdr:col>16</xdr:col>
          <xdr:colOff>723900</xdr:colOff>
          <xdr:row>9</xdr:row>
          <xdr:rowOff>9525</xdr:rowOff>
        </xdr:to>
        <xdr:sp macro="" textlink="">
          <xdr:nvSpPr>
            <xdr:cNvPr id="1029" name="btn_send_decimal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S59"/>
  <sheetViews>
    <sheetView tabSelected="1" workbookViewId="0">
      <selection activeCell="B5" sqref="B5:P5"/>
    </sheetView>
  </sheetViews>
  <sheetFormatPr defaultColWidth="9.140625" defaultRowHeight="15" x14ac:dyDescent="0.25"/>
  <cols>
    <col min="1" max="1" width="3.42578125" style="1" customWidth="1"/>
    <col min="2" max="16" width="5.7109375" style="1" customWidth="1"/>
    <col min="17" max="17" width="49.28515625" style="1" customWidth="1"/>
    <col min="18" max="32" width="7.7109375" style="1" customWidth="1"/>
    <col min="33" max="16384" width="9.140625" style="1"/>
  </cols>
  <sheetData>
    <row r="1" spans="1:45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5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</row>
    <row r="2" spans="1:45" x14ac:dyDescent="0.25">
      <c r="A2" s="3"/>
      <c r="B2" s="10" t="s">
        <v>3</v>
      </c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2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</row>
    <row r="3" spans="1:45" x14ac:dyDescent="0.25">
      <c r="A3" s="3"/>
      <c r="B3" s="16" t="s">
        <v>5</v>
      </c>
      <c r="C3" s="17"/>
      <c r="D3" s="9">
        <v>17</v>
      </c>
      <c r="E3" s="22" t="s">
        <v>6</v>
      </c>
      <c r="F3" s="23"/>
      <c r="G3" s="9">
        <v>20</v>
      </c>
      <c r="H3" s="16" t="s">
        <v>11</v>
      </c>
      <c r="I3" s="17"/>
      <c r="J3" s="17"/>
      <c r="K3" s="17">
        <f>LEN(B7)</f>
        <v>37</v>
      </c>
      <c r="L3" s="17"/>
      <c r="M3" s="17"/>
      <c r="N3" s="17"/>
      <c r="O3" s="17"/>
      <c r="P3" s="21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</row>
    <row r="4" spans="1:45" x14ac:dyDescent="0.25">
      <c r="A4" s="3"/>
      <c r="B4" s="24" t="s">
        <v>4</v>
      </c>
      <c r="C4" s="25"/>
      <c r="D4" s="25"/>
      <c r="E4" s="25"/>
      <c r="F4" s="25"/>
      <c r="G4" s="25"/>
      <c r="H4" s="25"/>
      <c r="I4" s="25"/>
      <c r="J4" s="25"/>
      <c r="K4" s="25"/>
      <c r="L4" s="25"/>
      <c r="M4" s="25"/>
      <c r="N4" s="25"/>
      <c r="O4" s="25"/>
      <c r="P4" s="2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</row>
    <row r="5" spans="1:45" x14ac:dyDescent="0.25">
      <c r="A5" s="3"/>
      <c r="B5" s="41" t="s">
        <v>8</v>
      </c>
      <c r="C5" s="8" t="s">
        <v>8</v>
      </c>
      <c r="D5" s="8" t="s">
        <v>8</v>
      </c>
      <c r="E5" s="8" t="s">
        <v>8</v>
      </c>
      <c r="F5" s="8" t="s">
        <v>8</v>
      </c>
      <c r="G5" s="8" t="s">
        <v>8</v>
      </c>
      <c r="H5" s="8" t="s">
        <v>8</v>
      </c>
      <c r="I5" s="8" t="s">
        <v>10</v>
      </c>
      <c r="J5" s="8" t="s">
        <v>15</v>
      </c>
      <c r="K5" s="8" t="s">
        <v>9</v>
      </c>
      <c r="L5" s="8" t="s">
        <v>12</v>
      </c>
      <c r="M5" s="8" t="s">
        <v>12</v>
      </c>
      <c r="N5" s="8" t="s">
        <v>12</v>
      </c>
      <c r="O5" s="8" t="s">
        <v>12</v>
      </c>
      <c r="P5" s="8" t="s">
        <v>12</v>
      </c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</row>
    <row r="6" spans="1:45" x14ac:dyDescent="0.25">
      <c r="A6" s="3"/>
      <c r="B6" s="42" t="s">
        <v>0</v>
      </c>
      <c r="C6" s="14"/>
      <c r="D6" s="14"/>
      <c r="E6" s="14"/>
      <c r="F6" s="14"/>
      <c r="G6" s="14"/>
      <c r="H6" s="14"/>
      <c r="I6" s="14"/>
      <c r="J6" s="14"/>
      <c r="K6" s="14"/>
      <c r="L6" s="14"/>
      <c r="M6" s="14"/>
      <c r="N6" s="14"/>
      <c r="O6" s="14"/>
      <c r="P6" s="15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</row>
    <row r="7" spans="1:45" x14ac:dyDescent="0.25">
      <c r="A7" s="3"/>
      <c r="B7" s="43" t="str">
        <f>B5&amp;C5&amp;D5&amp;E5&amp;F5&amp;G5&amp;H5&amp;I5&amp;J5&amp;K5&amp;L5&amp;M5&amp;N5&amp;O5&amp;P5</f>
        <v>0000000000000000000000000000011110110</v>
      </c>
      <c r="C7" s="19"/>
      <c r="D7" s="19"/>
      <c r="E7" s="19"/>
      <c r="F7" s="19"/>
      <c r="G7" s="19"/>
      <c r="H7" s="19"/>
      <c r="I7" s="19"/>
      <c r="J7" s="19"/>
      <c r="K7" s="19"/>
      <c r="L7" s="19"/>
      <c r="M7" s="19"/>
      <c r="N7" s="19"/>
      <c r="O7" s="19"/>
      <c r="P7" s="20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</row>
    <row r="8" spans="1:45" x14ac:dyDescent="0.25">
      <c r="A8" s="3"/>
      <c r="B8" s="44" t="s">
        <v>7</v>
      </c>
      <c r="C8" s="30"/>
      <c r="D8" s="30"/>
      <c r="E8" s="30"/>
      <c r="F8" s="30"/>
      <c r="G8" s="31"/>
      <c r="H8" s="27" t="s">
        <v>1</v>
      </c>
      <c r="I8" s="28"/>
      <c r="J8" s="28"/>
      <c r="K8" s="28"/>
      <c r="L8" s="28"/>
      <c r="M8" s="28"/>
      <c r="N8" s="28"/>
      <c r="O8" s="28"/>
      <c r="P8" s="29"/>
      <c r="Q8" s="6"/>
      <c r="R8" s="6"/>
      <c r="S8" s="6"/>
      <c r="T8" s="6"/>
      <c r="U8" s="6"/>
      <c r="V8" s="6"/>
      <c r="W8" s="6"/>
      <c r="X8" s="6"/>
      <c r="Y8" s="6"/>
      <c r="Z8" s="6"/>
      <c r="AA8" s="7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</row>
    <row r="9" spans="1:45" x14ac:dyDescent="0.25">
      <c r="A9" s="3"/>
      <c r="B9" s="45" t="str">
        <f>MID(B7,D3,G3)</f>
        <v>00000000000001111011</v>
      </c>
      <c r="C9" s="32"/>
      <c r="D9" s="32"/>
      <c r="E9" s="32"/>
      <c r="F9" s="32"/>
      <c r="G9" s="33"/>
      <c r="H9" s="34" cm="1">
        <f t="array" ref="H9">binary_to_decimal(B9)</f>
        <v>123</v>
      </c>
      <c r="I9" s="35"/>
      <c r="J9" s="35"/>
      <c r="K9" s="35"/>
      <c r="L9" s="35"/>
      <c r="M9" s="35"/>
      <c r="N9" s="35"/>
      <c r="O9" s="35"/>
      <c r="P9" s="36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</row>
    <row r="10" spans="1:45" x14ac:dyDescent="0.25">
      <c r="A10" s="3"/>
      <c r="B10" s="46"/>
      <c r="C10" s="4"/>
      <c r="D10" s="4"/>
      <c r="E10" s="4"/>
      <c r="F10" s="4"/>
      <c r="G10" s="4"/>
      <c r="H10" s="4" t="s">
        <v>13</v>
      </c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</row>
    <row r="11" spans="1:45" x14ac:dyDescent="0.25">
      <c r="A11" s="3"/>
      <c r="B11" s="46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</row>
    <row r="12" spans="1:45" x14ac:dyDescent="0.25">
      <c r="A12" s="3"/>
      <c r="B12" s="46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</row>
    <row r="13" spans="1:45" x14ac:dyDescent="0.25">
      <c r="A13" s="3"/>
      <c r="B13" s="47" t="s">
        <v>2</v>
      </c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2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</row>
    <row r="14" spans="1:45" x14ac:dyDescent="0.25">
      <c r="A14" s="3"/>
      <c r="B14" s="48" t="s">
        <v>5</v>
      </c>
      <c r="C14" s="17"/>
      <c r="D14" s="9">
        <v>17</v>
      </c>
      <c r="E14" s="37" t="s">
        <v>6</v>
      </c>
      <c r="F14" s="38"/>
      <c r="G14" s="9">
        <v>20</v>
      </c>
      <c r="H14" s="16" t="s">
        <v>14</v>
      </c>
      <c r="I14" s="17"/>
      <c r="J14" s="17"/>
      <c r="K14" s="17"/>
      <c r="L14" s="17"/>
      <c r="M14" s="17"/>
      <c r="N14" s="17"/>
      <c r="O14" s="17"/>
      <c r="P14" s="9">
        <v>37</v>
      </c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</row>
    <row r="15" spans="1:45" x14ac:dyDescent="0.25">
      <c r="A15" s="3"/>
      <c r="B15" s="49" t="s">
        <v>1</v>
      </c>
      <c r="C15" s="28"/>
      <c r="D15" s="28"/>
      <c r="E15" s="28"/>
      <c r="F15" s="28"/>
      <c r="G15" s="29"/>
      <c r="H15" s="13" t="s">
        <v>0</v>
      </c>
      <c r="I15" s="14"/>
      <c r="J15" s="14"/>
      <c r="K15" s="14"/>
      <c r="L15" s="14"/>
      <c r="M15" s="14"/>
      <c r="N15" s="14"/>
      <c r="O15" s="14"/>
      <c r="P15" s="15"/>
      <c r="Q15" s="4" t="s">
        <v>0</v>
      </c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</row>
    <row r="16" spans="1:45" x14ac:dyDescent="0.25">
      <c r="A16" s="3"/>
      <c r="B16" s="50">
        <v>123</v>
      </c>
      <c r="C16" s="39"/>
      <c r="D16" s="39"/>
      <c r="E16" s="39"/>
      <c r="F16" s="39"/>
      <c r="G16" s="40"/>
      <c r="H16" s="18" t="str" cm="1">
        <f t="array" ref="H16">decimal_to_binary(B16,D14,G14,P14)</f>
        <v>0000000000000000000000000000011110110</v>
      </c>
      <c r="I16" s="19"/>
      <c r="J16" s="19"/>
      <c r="K16" s="19"/>
      <c r="L16" s="19"/>
      <c r="M16" s="19"/>
      <c r="N16" s="19"/>
      <c r="O16" s="19"/>
      <c r="P16" s="20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</row>
    <row r="17" spans="1:45" x14ac:dyDescent="0.25">
      <c r="A17" s="3"/>
      <c r="B17" s="49" t="s">
        <v>4</v>
      </c>
      <c r="C17" s="28"/>
      <c r="D17" s="28"/>
      <c r="E17" s="28"/>
      <c r="F17" s="28"/>
      <c r="G17" s="28"/>
      <c r="H17" s="28"/>
      <c r="I17" s="28"/>
      <c r="J17" s="28"/>
      <c r="K17" s="28"/>
      <c r="L17" s="28"/>
      <c r="M17" s="28"/>
      <c r="N17" s="28"/>
      <c r="O17" s="28"/>
      <c r="P17" s="29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</row>
    <row r="18" spans="1:45" s="2" customFormat="1" x14ac:dyDescent="0.25">
      <c r="A18" s="4"/>
      <c r="B18" s="41" t="str">
        <f>LEFT(H16,4)</f>
        <v>0000</v>
      </c>
      <c r="C18" s="8" t="str">
        <f>MID($H16,(COLUMN(C17) - 2) *4 + 1,4)</f>
        <v>0000</v>
      </c>
      <c r="D18" s="8" t="str">
        <f t="shared" ref="D18:P18" si="0">MID($H16,(COLUMN(D17) - 2) *4 + 1,4)</f>
        <v>0000</v>
      </c>
      <c r="E18" s="8" t="str">
        <f t="shared" si="0"/>
        <v>0000</v>
      </c>
      <c r="F18" s="8" t="str">
        <f t="shared" si="0"/>
        <v>0000</v>
      </c>
      <c r="G18" s="8" t="str">
        <f t="shared" si="0"/>
        <v>0000</v>
      </c>
      <c r="H18" s="8" t="str">
        <f t="shared" si="0"/>
        <v>0000</v>
      </c>
      <c r="I18" s="8" t="str">
        <f t="shared" si="0"/>
        <v>0111</v>
      </c>
      <c r="J18" s="8" t="str">
        <f t="shared" si="0"/>
        <v>1011</v>
      </c>
      <c r="K18" s="8" t="str">
        <f t="shared" si="0"/>
        <v>0</v>
      </c>
      <c r="L18" s="8" t="str">
        <f t="shared" si="0"/>
        <v/>
      </c>
      <c r="M18" s="8" t="str">
        <f t="shared" si="0"/>
        <v/>
      </c>
      <c r="N18" s="8" t="str">
        <f t="shared" si="0"/>
        <v/>
      </c>
      <c r="O18" s="8" t="str">
        <f t="shared" si="0"/>
        <v/>
      </c>
      <c r="P18" s="8" t="str">
        <f t="shared" si="0"/>
        <v/>
      </c>
      <c r="Q18" s="4"/>
      <c r="R18" s="4"/>
      <c r="S18" s="3"/>
      <c r="T18" s="3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</row>
    <row r="19" spans="1:45" s="2" customFormat="1" x14ac:dyDescent="0.25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</row>
    <row r="20" spans="1:45" s="2" customFormat="1" x14ac:dyDescent="0.25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</row>
    <row r="21" spans="1:45" s="2" customFormat="1" x14ac:dyDescent="0.25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</row>
    <row r="22" spans="1:45" s="2" customFormat="1" x14ac:dyDescent="0.25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</row>
    <row r="23" spans="1:45" s="2" customFormat="1" x14ac:dyDescent="0.25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</row>
    <row r="24" spans="1:45" s="2" customFormat="1" x14ac:dyDescent="0.25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</row>
    <row r="25" spans="1:45" s="2" customFormat="1" x14ac:dyDescent="0.25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</row>
    <row r="26" spans="1:45" s="2" customFormat="1" x14ac:dyDescent="0.25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</row>
    <row r="27" spans="1:45" x14ac:dyDescent="0.25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</row>
    <row r="28" spans="1:45" x14ac:dyDescent="0.25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</row>
    <row r="29" spans="1:45" x14ac:dyDescent="0.25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</row>
    <row r="30" spans="1:45" x14ac:dyDescent="0.25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</row>
    <row r="31" spans="1:45" x14ac:dyDescent="0.25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</row>
    <row r="32" spans="1:45" x14ac:dyDescent="0.25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</row>
    <row r="33" spans="1:45" x14ac:dyDescent="0.25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</row>
    <row r="34" spans="1:45" x14ac:dyDescent="0.25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</row>
    <row r="35" spans="1:45" x14ac:dyDescent="0.25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</row>
    <row r="36" spans="1:45" x14ac:dyDescent="0.25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</row>
    <row r="37" spans="1:45" x14ac:dyDescent="0.25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</row>
    <row r="38" spans="1:45" x14ac:dyDescent="0.25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</row>
    <row r="39" spans="1:45" x14ac:dyDescent="0.25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</row>
    <row r="40" spans="1:45" x14ac:dyDescent="0.25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</row>
    <row r="41" spans="1:45" x14ac:dyDescent="0.25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</row>
    <row r="42" spans="1:45" x14ac:dyDescent="0.25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</row>
    <row r="43" spans="1:45" x14ac:dyDescent="0.25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</row>
    <row r="44" spans="1:45" x14ac:dyDescent="0.25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</row>
    <row r="45" spans="1:45" x14ac:dyDescent="0.25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</row>
    <row r="46" spans="1:45" x14ac:dyDescent="0.25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</row>
    <row r="47" spans="1:45" x14ac:dyDescent="0.25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</row>
    <row r="48" spans="1:45" x14ac:dyDescent="0.25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</row>
    <row r="49" spans="1:45" x14ac:dyDescent="0.25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</row>
    <row r="50" spans="1:45" x14ac:dyDescent="0.25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</row>
    <row r="51" spans="1:45" x14ac:dyDescent="0.25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</row>
    <row r="52" spans="1:45" x14ac:dyDescent="0.25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</row>
    <row r="53" spans="1:45" x14ac:dyDescent="0.25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</row>
    <row r="54" spans="1:45" x14ac:dyDescent="0.25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</row>
    <row r="55" spans="1:45" x14ac:dyDescent="0.25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</row>
    <row r="56" spans="1:45" x14ac:dyDescent="0.25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</row>
    <row r="57" spans="1:45" x14ac:dyDescent="0.25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</row>
    <row r="58" spans="1:45" x14ac:dyDescent="0.25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</row>
    <row r="59" spans="1:45" x14ac:dyDescent="0.25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</row>
  </sheetData>
  <sheetProtection formatCells="0" formatColumns="0" formatRows="0" insertColumns="0" insertRows="0" insertHyperlinks="0" deleteColumns="0" deleteRows="0" sort="0" autoFilter="0" pivotTables="0"/>
  <protectedRanges>
    <protectedRange sqref="D3 G3 B5:K5 D14 G14 P14 B16" name="Editable"/>
  </protectedRanges>
  <mergeCells count="21">
    <mergeCell ref="B17:P17"/>
    <mergeCell ref="B8:G8"/>
    <mergeCell ref="B9:G9"/>
    <mergeCell ref="H14:O14"/>
    <mergeCell ref="H8:P8"/>
    <mergeCell ref="H9:P9"/>
    <mergeCell ref="B14:C14"/>
    <mergeCell ref="E14:F14"/>
    <mergeCell ref="H16:P16"/>
    <mergeCell ref="H15:P15"/>
    <mergeCell ref="B13:P13"/>
    <mergeCell ref="B16:G16"/>
    <mergeCell ref="B15:G15"/>
    <mergeCell ref="B2:P2"/>
    <mergeCell ref="B6:P6"/>
    <mergeCell ref="H3:J3"/>
    <mergeCell ref="B7:P7"/>
    <mergeCell ref="K3:P3"/>
    <mergeCell ref="B3:C3"/>
    <mergeCell ref="E3:F3"/>
    <mergeCell ref="B4:P4"/>
  </mergeCells>
  <conditionalFormatting sqref="P14">
    <cfRule type="expression" dxfId="0" priority="1">
      <formula>$D$14+$G$14&gt;$P$14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7" r:id="rId3" name="TextBox1">
          <controlPr defaultSize="0" autoLine="0" autoPict="0" r:id="rId4">
            <anchor>
              <from>
                <xdr:col>16</xdr:col>
                <xdr:colOff>742950</xdr:colOff>
                <xdr:row>1</xdr:row>
                <xdr:rowOff>9525</xdr:rowOff>
              </from>
              <to>
                <xdr:col>21</xdr:col>
                <xdr:colOff>447675</xdr:colOff>
                <xdr:row>18</xdr:row>
                <xdr:rowOff>66675</xdr:rowOff>
              </to>
            </anchor>
          </controlPr>
        </control>
      </mc:Choice>
      <mc:Fallback>
        <control shapeId="1027" r:id="rId3" name="TextBox1"/>
      </mc:Fallback>
    </mc:AlternateContent>
    <mc:AlternateContent xmlns:mc="http://schemas.openxmlformats.org/markup-compatibility/2006">
      <mc:Choice Requires="x14">
        <control shapeId="1028" r:id="rId5" name="btn_send_binary">
          <controlPr defaultSize="0" autoLine="0" r:id="rId6">
            <anchor moveWithCells="1">
              <from>
                <xdr:col>16</xdr:col>
                <xdr:colOff>28575</xdr:colOff>
                <xdr:row>12</xdr:row>
                <xdr:rowOff>9525</xdr:rowOff>
              </from>
              <to>
                <xdr:col>16</xdr:col>
                <xdr:colOff>723900</xdr:colOff>
                <xdr:row>18</xdr:row>
                <xdr:rowOff>19050</xdr:rowOff>
              </to>
            </anchor>
          </controlPr>
        </control>
      </mc:Choice>
      <mc:Fallback>
        <control shapeId="1028" r:id="rId5" name="btn_send_binary"/>
      </mc:Fallback>
    </mc:AlternateContent>
    <mc:AlternateContent xmlns:mc="http://schemas.openxmlformats.org/markup-compatibility/2006">
      <mc:Choice Requires="x14">
        <control shapeId="1029" r:id="rId7" name="btn_send_decimal">
          <controlPr defaultSize="0" autoLine="0" autoPict="0" r:id="rId8">
            <anchor moveWithCells="1">
              <from>
                <xdr:col>16</xdr:col>
                <xdr:colOff>28575</xdr:colOff>
                <xdr:row>1</xdr:row>
                <xdr:rowOff>9525</xdr:rowOff>
              </from>
              <to>
                <xdr:col>16</xdr:col>
                <xdr:colOff>723900</xdr:colOff>
                <xdr:row>9</xdr:row>
                <xdr:rowOff>9525</xdr:rowOff>
              </to>
            </anchor>
          </controlPr>
        </control>
      </mc:Choice>
      <mc:Fallback>
        <control shapeId="1029" r:id="rId7" name="btn_send_decimal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Editable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Jason Hall</dc:creator>
  <cp:lastModifiedBy>Jason Hall</cp:lastModifiedBy>
  <dcterms:created xsi:type="dcterms:W3CDTF">2023-08-22T16:36:18Z</dcterms:created>
  <dcterms:modified xsi:type="dcterms:W3CDTF">2023-12-06T15:49:15Z</dcterms:modified>
</cp:coreProperties>
</file>