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activeX/activeX1.xml" ContentType="application/vnd.ms-office.activeX+xml"/>
  <Override PartName="/xl/activeX/activeX2.xml" ContentType="application/vnd.ms-office.activeX+xml"/>
  <Override PartName="/xl/activeX/activeX3.xml" ContentType="application/vnd.ms-office.activeX+xml"/>
  <Override PartName="/xl/activeX/activeX4.xml" ContentType="application/vnd.ms-office.activeX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231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timeclockplus-my.sharepoint.com/personal/jhall_tcpsoftware_com/Documents/Utilities/parse_badge/"/>
    </mc:Choice>
  </mc:AlternateContent>
  <xr:revisionPtr revIDLastSave="4774" documentId="8_{64560DDF-84A5-4D36-BD94-C7565D99C4EE}" xr6:coauthVersionLast="47" xr6:coauthVersionMax="47" xr10:uidLastSave="{5B6C5920-6BFD-4C26-9894-5E3A52891287}"/>
  <workbookProtection workbookAlgorithmName="SHA-512" workbookHashValue="4p1EpzmYIlpzU0KQZ5CpJAW0fkawGAN2kx0z5vj5nfysdMvJfHm2CRyLb2syafW+McoqFrdadvJLvfduoLdJDA==" workbookSaltValue="ECgBAkq+tlWeuENZ/VcYVQ==" workbookSpinCount="100000" lockStructure="1"/>
  <bookViews>
    <workbookView xWindow="-120" yWindow="-120" windowWidth="24240" windowHeight="13140" xr2:uid="{00000000-000D-0000-FFFF-FFFF00000000}"/>
  </bookViews>
  <sheets>
    <sheet name="Sheet1" sheetId="1" r:id="rId1"/>
  </sheets>
  <functionGroups builtInGroupCount="19"/>
  <definedNames>
    <definedName name="Editable">Sheet1!$D$3,Sheet1!$G$3,Sheet1!$B$5,Sheet1!$C$5,Sheet1!$D$5,Sheet1!$E$5,Sheet1!$F$5,Sheet1!$G$5,Sheet1!$H$5,Sheet1!$I$5,Sheet1!$J$5,Sheet1!$K$5,Sheet1!$D$14,Sheet1!$G$14,Sheet1!$P$14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18" i="1" l="1"/>
  <c r="W7" i="1"/>
  <c r="B25" i="1"/>
  <c r="H27" i="1" s="1"/>
  <c r="B7" i="1"/>
  <c r="K3" i="1" s="1"/>
  <c r="AC9" i="1" a="1"/>
  <c r="K27" i="1" a="1"/>
  <c r="H16" i="1" a="1"/>
  <c r="H16" i="1" l="1"/>
  <c r="B9" i="1"/>
  <c r="K27" i="1"/>
  <c r="AC9" i="1"/>
  <c r="W9" i="1" s="1"/>
  <c r="AF3" i="1"/>
  <c r="H9" i="1" a="1"/>
  <c r="C18" i="1" l="1"/>
  <c r="D18" i="1"/>
  <c r="E18" i="1"/>
  <c r="H9" i="1"/>
  <c r="J18" i="1"/>
  <c r="P18" i="1"/>
  <c r="H18" i="1"/>
  <c r="G18" i="1"/>
  <c r="F18" i="1"/>
  <c r="M18" i="1"/>
  <c r="K18" i="1"/>
  <c r="I18" i="1"/>
  <c r="O18" i="1"/>
  <c r="N18" i="1"/>
  <c r="L18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<sst xmlns="http://schemas.openxmlformats.org/spreadsheetml/2006/main" count="227" uniqueCount="190">
  <si>
    <t>Complete Binary</t>
  </si>
  <si>
    <t>Decimal</t>
  </si>
  <si>
    <t>Binary number (split)</t>
  </si>
  <si>
    <t>Start -&gt;</t>
  </si>
  <si>
    <t>Length -&gt;</t>
  </si>
  <si>
    <t>Partial Binary</t>
  </si>
  <si>
    <t>0000</t>
  </si>
  <si>
    <t>0111</t>
  </si>
  <si>
    <t>Total Length -&gt;</t>
  </si>
  <si>
    <t/>
  </si>
  <si>
    <t>\</t>
  </si>
  <si>
    <t>Desired total binary length -&gt;</t>
  </si>
  <si>
    <t>1011</t>
  </si>
  <si>
    <t>Determine parsing rules</t>
  </si>
  <si>
    <t>Desired Decimal</t>
  </si>
  <si>
    <t>Possible parsing rules (translate then parse)</t>
  </si>
  <si>
    <t>Possible parsing rules (parse then translate)</t>
  </si>
  <si>
    <t>0001</t>
  </si>
  <si>
    <t>1001</t>
  </si>
  <si>
    <t>1100</t>
  </si>
  <si>
    <t>Decimal to Binary  (parse then translate)</t>
  </si>
  <si>
    <t>Binary to Decimal  (parse then translate)</t>
  </si>
  <si>
    <t>Binary to Decimal  (translate then parse)</t>
  </si>
  <si>
    <t>Complete Decimal</t>
  </si>
  <si>
    <t>Partial Decimal</t>
  </si>
  <si>
    <t>Binary Length</t>
  </si>
  <si>
    <t>Full decimal</t>
  </si>
  <si>
    <t>Start : 3    Length : 10   binary : 0000000000</t>
  </si>
  <si>
    <t>Start : 3    Length : 11   binary : 00000000000</t>
  </si>
  <si>
    <t>Start : 3    Length : 12   binary : 000000000000</t>
  </si>
  <si>
    <t>Start : 3    Length : 13   binary : 0000000000000</t>
  </si>
  <si>
    <t>Start : 3    Length : 14   binary : 00000000000000</t>
  </si>
  <si>
    <t>Start : 3    Length : 15   binary : 000000000000000</t>
  </si>
  <si>
    <t>Start : 3    Length : 16   binary : 0000000000000000</t>
  </si>
  <si>
    <t>Start : 3    Length : 17   binary : 00000000000000000</t>
  </si>
  <si>
    <t>Start : 4    Length : 1   binary : 0</t>
  </si>
  <si>
    <t>Start : 4    Length : 2   binary : 00</t>
  </si>
  <si>
    <t>Start : 4    Length : 3   binary : 000</t>
  </si>
  <si>
    <t>Start : 4    Length : 4   binary : 0000</t>
  </si>
  <si>
    <t>Start : 4    Length : 5   binary : 00000</t>
  </si>
  <si>
    <t>Start : 4    Length : 6   binary : 000000</t>
  </si>
  <si>
    <t>Start : 4    Length : 7   binary : 0000000</t>
  </si>
  <si>
    <t>Start : 4    Length : 8   binary : 00000000</t>
  </si>
  <si>
    <t>Start : 4    Length : 9   binary : 000000000</t>
  </si>
  <si>
    <t>Start : 4    Length : 10   binary : 0000000000</t>
  </si>
  <si>
    <t>Start : 4    Length : 11   binary : 00000000000</t>
  </si>
  <si>
    <t>Start : 4    Length : 12   binary : 000000000000</t>
  </si>
  <si>
    <t>Start : 4    Length : 13   binary : 0000000000000</t>
  </si>
  <si>
    <t>Start : 4    Length : 14   binary : 00000000000000</t>
  </si>
  <si>
    <t>Start : 4    Length : 15   binary : 000000000000000</t>
  </si>
  <si>
    <t>Start : 4    Length : 16   binary : 0000000000000000</t>
  </si>
  <si>
    <t>Start : 5    Length : 1   binary : 0</t>
  </si>
  <si>
    <t>Start : 5    Length : 2   binary : 00</t>
  </si>
  <si>
    <t>Start : 5    Length : 3   binary : 000</t>
  </si>
  <si>
    <t>Start : 5    Length : 4   binary : 0000</t>
  </si>
  <si>
    <t>Start : 5    Length : 5   binary : 00000</t>
  </si>
  <si>
    <t>Start : 5    Length : 6   binary : 000000</t>
  </si>
  <si>
    <t>Start : 5    Length : 7   binary : 0000000</t>
  </si>
  <si>
    <t>Start : 5    Length : 8   binary : 00000000</t>
  </si>
  <si>
    <t>Start : 5    Length : 9   binary : 000000000</t>
  </si>
  <si>
    <t>Start : 5    Length : 10   binary : 0000000000</t>
  </si>
  <si>
    <t>Start : 5    Length : 11   binary : 00000000000</t>
  </si>
  <si>
    <t>Start : 5    Length : 12   binary : 000000000000</t>
  </si>
  <si>
    <t>Start : 5    Length : 13   binary : 0000000000000</t>
  </si>
  <si>
    <t>Start : 5    Length : 14   binary : 00000000000000</t>
  </si>
  <si>
    <t>Start : 5    Length : 15   binary : 000000000000000</t>
  </si>
  <si>
    <t>Start : 6    Length : 1   binary : 0</t>
  </si>
  <si>
    <t>Start : 6    Length : 2   binary : 00</t>
  </si>
  <si>
    <t>Start : 6    Length : 3   binary : 000</t>
  </si>
  <si>
    <t>Start : 6    Length : 4   binary : 0000</t>
  </si>
  <si>
    <t>Start : 6    Length : 5   binary : 00000</t>
  </si>
  <si>
    <t>Start : 6    Length : 6   binary : 000000</t>
  </si>
  <si>
    <t>Start : 6    Length : 7   binary : 0000000</t>
  </si>
  <si>
    <t>Start : 6    Length : 8   binary : 00000000</t>
  </si>
  <si>
    <t>Start : 6    Length : 9   binary : 000000000</t>
  </si>
  <si>
    <t>Start : 6    Length : 10   binary : 0000000000</t>
  </si>
  <si>
    <t>Start : 6    Length : 11   binary : 00000000000</t>
  </si>
  <si>
    <t>Start : 6    Length : 12   binary : 000000000000</t>
  </si>
  <si>
    <t>Start : 6    Length : 13   binary : 0000000000000</t>
  </si>
  <si>
    <t>Start : 6    Length : 14   binary : 00000000000000</t>
  </si>
  <si>
    <t>Start : 7    Length : 1   binary : 0</t>
  </si>
  <si>
    <t>Start : 7    Length : 2   binary : 00</t>
  </si>
  <si>
    <t>Start : 7    Length : 3   binary : 000</t>
  </si>
  <si>
    <t>Start : 7    Length : 4   binary : 0000</t>
  </si>
  <si>
    <t>Start : 7    Length : 5   binary : 00000</t>
  </si>
  <si>
    <t>Start : 7    Length : 6   binary : 000000</t>
  </si>
  <si>
    <t>Start : 7    Length : 7   binary : 0000000</t>
  </si>
  <si>
    <t>Start : 7    Length : 8   binary : 00000000</t>
  </si>
  <si>
    <t>Start : 7    Length : 9   binary : 000000000</t>
  </si>
  <si>
    <t>Start : 7    Length : 10   binary : 0000000000</t>
  </si>
  <si>
    <t>Start : 7    Length : 11   binary : 00000000000</t>
  </si>
  <si>
    <t>Start : 7    Length : 12   binary : 000000000000</t>
  </si>
  <si>
    <t>Start : 7    Length : 13   binary : 0000000000000</t>
  </si>
  <si>
    <t>Start : 8    Length : 1   binary : 0</t>
  </si>
  <si>
    <t>Start : 8    Length : 2   binary : 00</t>
  </si>
  <si>
    <t>Start : 8    Length : 3   binary : 000</t>
  </si>
  <si>
    <t>Start : 8    Length : 4   binary : 0000</t>
  </si>
  <si>
    <t>Start : 8    Length : 5   binary : 00000</t>
  </si>
  <si>
    <t>Start : 8    Length : 6   binary : 000000</t>
  </si>
  <si>
    <t>Start : 8    Length : 7   binary : 0000000</t>
  </si>
  <si>
    <t>Start : 8    Length : 8   binary : 00000000</t>
  </si>
  <si>
    <t>Start : 8    Length : 9   binary : 000000000</t>
  </si>
  <si>
    <t>Start : 8    Length : 10   binary : 0000000000</t>
  </si>
  <si>
    <t>Start : 8    Length : 11   binary : 00000000000</t>
  </si>
  <si>
    <t>Start : 8    Length : 12   binary : 000000000000</t>
  </si>
  <si>
    <t>Start : 9    Length : 1   binary : 0</t>
  </si>
  <si>
    <t>Start : 9    Length : 2   binary : 00</t>
  </si>
  <si>
    <t>Start : 9    Length : 3   binary : 000</t>
  </si>
  <si>
    <t>Start : 9    Length : 4   binary : 0000</t>
  </si>
  <si>
    <t>Start : 9    Length : 5   binary : 00000</t>
  </si>
  <si>
    <t>Start : 9    Length : 6   binary : 000000</t>
  </si>
  <si>
    <t>Start : 9    Length : 7   binary : 0000000</t>
  </si>
  <si>
    <t>Start : 9    Length : 8   binary : 00000000</t>
  </si>
  <si>
    <t>Start : 9    Length : 9   binary : 000000000</t>
  </si>
  <si>
    <t>Start : 9    Length : 10   binary : 0000000000</t>
  </si>
  <si>
    <t>Start : 9    Length : 11   binary : 00000000000</t>
  </si>
  <si>
    <t>Start : 10    Length : 1   binary : 0</t>
  </si>
  <si>
    <t>Start : 10    Length : 2   binary : 00</t>
  </si>
  <si>
    <t>Start : 10    Length : 3   binary : 000</t>
  </si>
  <si>
    <t>Start : 10    Length : 4   binary : 0000</t>
  </si>
  <si>
    <t>Start : 10    Length : 5   binary : 00000</t>
  </si>
  <si>
    <t>Start : 10    Length : 6   binary : 000000</t>
  </si>
  <si>
    <t>Start : 10    Length : 7   binary : 0000000</t>
  </si>
  <si>
    <t>Start : 10    Length : 8   binary : 00000000</t>
  </si>
  <si>
    <t>Start : 10    Length : 9   binary : 000000000</t>
  </si>
  <si>
    <t>Start : 10    Length : 10   binary : 0000000000</t>
  </si>
  <si>
    <t>Start : 11    Length : 1   binary : 0</t>
  </si>
  <si>
    <t>Start : 11    Length : 2   binary : 00</t>
  </si>
  <si>
    <t>Start : 11    Length : 3   binary : 000</t>
  </si>
  <si>
    <t>Start : 11    Length : 4   binary : 0000</t>
  </si>
  <si>
    <t>Start : 11    Length : 5   binary : 00000</t>
  </si>
  <si>
    <t>Start : 11    Length : 6   binary : 000000</t>
  </si>
  <si>
    <t>Start : 11    Length : 7   binary : 0000000</t>
  </si>
  <si>
    <t>Start : 11    Length : 8   binary : 00000000</t>
  </si>
  <si>
    <t>Start : 11    Length : 9   binary : 000000000</t>
  </si>
  <si>
    <t>Start : 12    Length : 1   binary : 0</t>
  </si>
  <si>
    <t>Start : 12    Length : 2   binary : 00</t>
  </si>
  <si>
    <t>Start : 12    Length : 3   binary : 000</t>
  </si>
  <si>
    <t>Start : 12    Length : 4   binary : 0000</t>
  </si>
  <si>
    <t>Start : 12    Length : 5   binary : 00000</t>
  </si>
  <si>
    <t>Start : 12    Length : 6   binary : 000000</t>
  </si>
  <si>
    <t>Start : 12    Length : 7   binary : 0000000</t>
  </si>
  <si>
    <t>Start : 12    Length : 8   binary : 00000000</t>
  </si>
  <si>
    <t>Start : 13    Length : 1   binary : 0</t>
  </si>
  <si>
    <t>Start : 13    Length : 2   binary : 00</t>
  </si>
  <si>
    <t>Start : 13    Length : 3   binary : 000</t>
  </si>
  <si>
    <t>Start : 13    Length : 4   binary : 0000</t>
  </si>
  <si>
    <t>Start : 13    Length : 5   binary : 00000</t>
  </si>
  <si>
    <t>Start : 13    Length : 6   binary : 000000</t>
  </si>
  <si>
    <t>Start : 13    Length : 7   binary : 0000000</t>
  </si>
  <si>
    <t>Start : 14    Length : 1   binary : 0</t>
  </si>
  <si>
    <t>Start : 14    Length : 2   binary : 00</t>
  </si>
  <si>
    <t>Start : 14    Length : 3   binary : 000</t>
  </si>
  <si>
    <t>Start : 14    Length : 4   binary : 0000</t>
  </si>
  <si>
    <t>Start : 14    Length : 5   binary : 00000</t>
  </si>
  <si>
    <t>Start : 14    Length : 6   binary : 000000</t>
  </si>
  <si>
    <t>Start : 15    Length : 1   binary : 0</t>
  </si>
  <si>
    <t>Start : 15    Length : 2   binary : 00</t>
  </si>
  <si>
    <t>Start : 15    Length : 3   binary : 000</t>
  </si>
  <si>
    <t>Start : 15    Length : 4   binary : 0000</t>
  </si>
  <si>
    <t>Start : 15    Length : 5   binary : 00000</t>
  </si>
  <si>
    <t>Start : 16    Length : 1   binary : 0</t>
  </si>
  <si>
    <t>Start : 16    Length : 2   binary : 00</t>
  </si>
  <si>
    <t>Start : 16    Length : 3   binary : 000</t>
  </si>
  <si>
    <t>Start : 16    Length : 4   binary : 0000</t>
  </si>
  <si>
    <t>Start : 17    Length : 1   binary : 0</t>
  </si>
  <si>
    <t>Start : 17    Length : 2   binary : 00</t>
  </si>
  <si>
    <t>Start : 17    Length : 3   binary : 000</t>
  </si>
  <si>
    <t>Start : 18    Length : 1   binary : 0</t>
  </si>
  <si>
    <t>Start : 18    Length : 2   binary : 00</t>
  </si>
  <si>
    <t>Start : 19    Length : 1   binary : 0</t>
  </si>
  <si>
    <t>Start : 21    Length : 1   binary : 0</t>
  </si>
  <si>
    <t>Start : 26    Length : 1   binary : 0</t>
  </si>
  <si>
    <t>Start : 30    Length : 1   binary : 0</t>
  </si>
  <si>
    <t>Start : 30    Length : 2   binary : 00</t>
  </si>
  <si>
    <t>Start : 31    Length : 1   binary : 0</t>
  </si>
  <si>
    <t>Start : 35    Length : 1   binary : 0</t>
  </si>
  <si>
    <t>Start : 35    Length : 2   binary : 00</t>
  </si>
  <si>
    <t>Start : 35    Length : 3   binary : 000</t>
  </si>
  <si>
    <t>Start : 36    Length : 1   binary : 0</t>
  </si>
  <si>
    <t>Start : 36    Length : 2   binary : 00</t>
  </si>
  <si>
    <t>1010</t>
  </si>
  <si>
    <t>0011</t>
  </si>
  <si>
    <t>1101</t>
  </si>
  <si>
    <t>0100</t>
  </si>
  <si>
    <t>0010</t>
  </si>
  <si>
    <t>0101</t>
  </si>
  <si>
    <t>1110</t>
  </si>
  <si>
    <t>1000</t>
  </si>
  <si>
    <t>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</si>
</sst>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CE4D6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D9E1F2"/>
        <bgColor indexed="64"/>
      </patternFill>
    </fill>
    <fill>
      <patternFill patternType="solid">
        <fgColor theme="9" tint="0.39997558519241921"/>
        <bgColor indexed="64"/>
      </patternFill>
    </fill>
  </fills>
  <borders count="1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52">
    <xf numFmtId="0" fontId="0" fillId="0" borderId="0" xfId="0"/>
    <xf numFmtId="0" fontId="0" fillId="0" borderId="0" xfId="0" applyAlignment="1">
      <alignment horizontal="center" vertical="center"/>
    </xf>
    <xf numFmtId="49" fontId="0" fillId="0" borderId="0" xfId="0" applyNumberFormat="1" applyAlignment="1">
      <alignment horizontal="center" vertical="center"/>
    </xf>
    <xf numFmtId="0" fontId="0" fillId="2" borderId="0" xfId="0" applyFill="1" applyAlignment="1">
      <alignment horizontal="center" vertical="center"/>
    </xf>
    <xf numFmtId="49" fontId="0" fillId="2" borderId="0" xfId="0" applyNumberFormat="1" applyFill="1" applyAlignment="1">
      <alignment horizontal="center" vertical="center"/>
    </xf>
    <xf numFmtId="49" fontId="0" fillId="2" borderId="0" xfId="0" applyNumberFormat="1" applyFill="1" applyAlignment="1">
      <alignment vertical="center"/>
    </xf>
    <xf numFmtId="49" fontId="0" fillId="2" borderId="6" xfId="0" applyNumberFormat="1" applyFill="1" applyBorder="1" applyAlignment="1">
      <alignment vertical="center"/>
    </xf>
    <xf numFmtId="49" fontId="0" fillId="6" borderId="1" xfId="0" applyNumberFormat="1" applyFill="1" applyBorder="1" applyAlignment="1">
      <alignment horizontal="center" vertical="center"/>
    </xf>
    <xf numFmtId="0" fontId="0" fillId="8" borderId="10" xfId="0" applyFill="1" applyBorder="1" applyAlignment="1">
      <alignment horizontal="center" vertical="center"/>
    </xf>
    <xf numFmtId="49" fontId="0" fillId="8" borderId="1" xfId="0" applyNumberFormat="1" applyFill="1" applyBorder="1" applyAlignment="1">
      <alignment horizontal="center" vertical="center"/>
    </xf>
    <xf numFmtId="0" fontId="0" fillId="8" borderId="1" xfId="0" applyFill="1" applyBorder="1" applyAlignment="1">
      <alignment horizontal="center" vertical="center"/>
    </xf>
    <xf numFmtId="0" fontId="0" fillId="9" borderId="8" xfId="0" applyFill="1" applyBorder="1" applyAlignment="1">
      <alignment horizontal="center" vertical="center"/>
    </xf>
    <xf numFmtId="0" fontId="0" fillId="9" borderId="9" xfId="0" applyFill="1" applyBorder="1" applyAlignment="1">
      <alignment horizontal="center" vertical="center"/>
    </xf>
    <xf numFmtId="0" fontId="0" fillId="9" borderId="10" xfId="0" applyFill="1" applyBorder="1" applyAlignment="1">
      <alignment horizontal="center" vertical="center"/>
    </xf>
    <xf numFmtId="0" fontId="0" fillId="10" borderId="2" xfId="0" applyFill="1" applyBorder="1" applyAlignment="1">
      <alignment horizontal="center" vertical="center"/>
    </xf>
    <xf numFmtId="0" fontId="0" fillId="10" borderId="3" xfId="0" applyFill="1" applyBorder="1" applyAlignment="1">
      <alignment horizontal="center" vertical="center"/>
    </xf>
    <xf numFmtId="0" fontId="0" fillId="10" borderId="4" xfId="0" applyFill="1" applyBorder="1" applyAlignment="1">
      <alignment horizontal="center" vertical="center"/>
    </xf>
    <xf numFmtId="0" fontId="0" fillId="3" borderId="8" xfId="0" applyFill="1" applyBorder="1" applyAlignment="1">
      <alignment horizontal="center" vertical="center"/>
    </xf>
    <xf numFmtId="0" fontId="0" fillId="3" borderId="9" xfId="0" applyFill="1" applyBorder="1" applyAlignment="1">
      <alignment horizontal="center" vertical="center"/>
    </xf>
    <xf numFmtId="0" fontId="0" fillId="7" borderId="5" xfId="0" applyFill="1" applyBorder="1" applyAlignment="1">
      <alignment horizontal="center" vertical="center"/>
    </xf>
    <xf numFmtId="0" fontId="0" fillId="7" borderId="6" xfId="0" applyFill="1" applyBorder="1" applyAlignment="1">
      <alignment horizontal="center" vertical="center"/>
    </xf>
    <xf numFmtId="0" fontId="0" fillId="7" borderId="7" xfId="0" applyFill="1" applyBorder="1" applyAlignment="1">
      <alignment horizontal="center" vertical="center"/>
    </xf>
    <xf numFmtId="0" fontId="0" fillId="3" borderId="10" xfId="0" applyFill="1" applyBorder="1" applyAlignment="1">
      <alignment horizontal="center" vertical="center"/>
    </xf>
    <xf numFmtId="0" fontId="0" fillId="4" borderId="8" xfId="0" applyFill="1" applyBorder="1" applyAlignment="1">
      <alignment horizontal="center" vertical="center"/>
    </xf>
    <xf numFmtId="0" fontId="0" fillId="4" borderId="9" xfId="0" applyFill="1" applyBorder="1" applyAlignment="1">
      <alignment horizontal="center" vertical="center"/>
    </xf>
    <xf numFmtId="0" fontId="0" fillId="6" borderId="8" xfId="0" applyFill="1" applyBorder="1" applyAlignment="1">
      <alignment horizontal="center" vertical="center"/>
    </xf>
    <xf numFmtId="0" fontId="0" fillId="6" borderId="9" xfId="0" applyFill="1" applyBorder="1" applyAlignment="1">
      <alignment horizontal="center" vertical="center"/>
    </xf>
    <xf numFmtId="0" fontId="0" fillId="6" borderId="10" xfId="0" applyFill="1" applyBorder="1" applyAlignment="1">
      <alignment horizontal="center" vertical="center"/>
    </xf>
    <xf numFmtId="0" fontId="0" fillId="5" borderId="2" xfId="0" applyFill="1" applyBorder="1" applyAlignment="1">
      <alignment horizontal="center" vertical="center"/>
    </xf>
    <xf numFmtId="0" fontId="0" fillId="5" borderId="3" xfId="0" applyFill="1" applyBorder="1" applyAlignment="1">
      <alignment horizontal="center" vertical="center"/>
    </xf>
    <xf numFmtId="0" fontId="0" fillId="5" borderId="4" xfId="0" applyFill="1" applyBorder="1" applyAlignment="1">
      <alignment horizontal="center" vertical="center"/>
    </xf>
    <xf numFmtId="0" fontId="0" fillId="5" borderId="5" xfId="0" applyFill="1" applyBorder="1" applyAlignment="1">
      <alignment horizontal="center" vertical="center"/>
    </xf>
    <xf numFmtId="0" fontId="0" fillId="5" borderId="6" xfId="0" applyFill="1" applyBorder="1" applyAlignment="1">
      <alignment horizontal="center" vertical="center"/>
    </xf>
    <xf numFmtId="0" fontId="0" fillId="5" borderId="7" xfId="0" applyFill="1" applyBorder="1" applyAlignment="1">
      <alignment horizontal="center" vertical="center"/>
    </xf>
    <xf numFmtId="0" fontId="0" fillId="6" borderId="2" xfId="0" applyFill="1" applyBorder="1" applyAlignment="1">
      <alignment horizontal="center" vertical="center"/>
    </xf>
    <xf numFmtId="0" fontId="0" fillId="6" borderId="3" xfId="0" applyFill="1" applyBorder="1" applyAlignment="1">
      <alignment horizontal="center" vertical="center"/>
    </xf>
    <xf numFmtId="0" fontId="0" fillId="6" borderId="4" xfId="0" applyFill="1" applyBorder="1" applyAlignment="1">
      <alignment horizontal="center" vertical="center"/>
    </xf>
    <xf numFmtId="0" fontId="0" fillId="6" borderId="5" xfId="0" applyFill="1" applyBorder="1" applyAlignment="1">
      <alignment horizontal="center" vertical="center"/>
    </xf>
    <xf numFmtId="0" fontId="0" fillId="6" borderId="6" xfId="0" applyFill="1" applyBorder="1" applyAlignment="1">
      <alignment horizontal="center" vertical="center"/>
    </xf>
    <xf numFmtId="0" fontId="0" fillId="6" borderId="7" xfId="0" applyFill="1" applyBorder="1" applyAlignment="1">
      <alignment horizontal="center" vertical="center"/>
    </xf>
    <xf numFmtId="0" fontId="0" fillId="5" borderId="8" xfId="0" applyFill="1" applyBorder="1" applyAlignment="1">
      <alignment horizontal="center" vertical="center"/>
    </xf>
    <xf numFmtId="0" fontId="0" fillId="5" borderId="9" xfId="0" applyFill="1" applyBorder="1" applyAlignment="1">
      <alignment horizontal="center" vertical="center"/>
    </xf>
    <xf numFmtId="0" fontId="0" fillId="7" borderId="2" xfId="0" applyFill="1" applyBorder="1" applyAlignment="1">
      <alignment horizontal="center" vertical="center"/>
    </xf>
    <xf numFmtId="0" fontId="0" fillId="7" borderId="3" xfId="0" applyFill="1" applyBorder="1" applyAlignment="1">
      <alignment horizontal="center" vertical="center"/>
    </xf>
    <xf numFmtId="0" fontId="0" fillId="7" borderId="4" xfId="0" applyFill="1" applyBorder="1" applyAlignment="1">
      <alignment horizontal="center" vertical="center"/>
    </xf>
    <xf numFmtId="0" fontId="0" fillId="8" borderId="5" xfId="0" applyFill="1" applyBorder="1" applyAlignment="1">
      <alignment horizontal="center" vertical="center"/>
    </xf>
    <xf numFmtId="0" fontId="0" fillId="8" borderId="6" xfId="0" applyFill="1" applyBorder="1" applyAlignment="1">
      <alignment horizontal="center" vertical="center"/>
    </xf>
    <xf numFmtId="0" fontId="0" fillId="8" borderId="7" xfId="0" applyFill="1" applyBorder="1" applyAlignment="1">
      <alignment horizontal="center" vertical="center"/>
    </xf>
    <xf numFmtId="0" fontId="0" fillId="10" borderId="8" xfId="0" applyFill="1" applyBorder="1" applyAlignment="1">
      <alignment horizontal="center" vertical="center"/>
    </xf>
    <xf numFmtId="0" fontId="0" fillId="10" borderId="9" xfId="0" applyFill="1" applyBorder="1" applyAlignment="1">
      <alignment horizontal="center" vertical="center"/>
    </xf>
    <xf numFmtId="0" fontId="0" fillId="10" borderId="10" xfId="0" applyFill="1" applyBorder="1" applyAlignment="1">
      <alignment horizontal="center" vertical="center"/>
    </xf>
    <xf numFmtId="0" fontId="0" fillId="8" borderId="5" xfId="0" applyNumberFormat="1" applyFill="1" applyBorder="1" applyAlignment="1">
      <alignment horizontal="center" vertical="center"/>
    </xf>
  </cellXfs>
  <cellStyles count="1">
    <cellStyle name="Normal" xfId="0" builtinId="0"/>
  </cellStyles>
  <dxfs count="1">
    <dxf>
      <fill>
        <patternFill>
          <bgColor theme="5" tint="0.39994506668294322"/>
        </patternFill>
      </fill>
    </dxf>
  </dxfs>
  <tableStyles count="0" defaultTableStyle="TableStyleMedium2" defaultPivotStyle="PivotStyleLight16"/>
  <colors>
    <mruColors>
      <color rgb="FFE2EFDA"/>
      <color rgb="FFD9E1F2"/>
      <color rgb="FFFFF2CC"/>
      <color rgb="FFFCE4D6"/>
      <color rgb="FF99FFCC"/>
      <color rgb="FF66FFFF"/>
      <color rgb="FF00FFFF"/>
      <color rgb="FFCCFFFF"/>
      <color rgb="FFFFE699"/>
      <color rgb="FFF0D1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styles" Target="styles.xml"/><Relationship Id="rId7" Type="http://schemas.openxmlformats.org/officeDocument/2006/relationships/calcChain" Target="calcChain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17/10/relationships/person" Target="persons/perso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2.emf"/><Relationship Id="rId2" Type="http://schemas.openxmlformats.org/officeDocument/2006/relationships/image" Target="../media/image3.emf"/><Relationship Id="rId1" Type="http://schemas.openxmlformats.org/officeDocument/2006/relationships/image" Target="../media/image4.emf"/><Relationship Id="rId4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16</xdr:col>
          <xdr:colOff>762000</xdr:colOff>
          <xdr:row>1</xdr:row>
          <xdr:rowOff>9525</xdr:rowOff>
        </xdr:from>
        <xdr:to>
          <xdr:col>21</xdr:col>
          <xdr:colOff>466725</xdr:colOff>
          <xdr:row>26</xdr:row>
          <xdr:rowOff>161925</xdr:rowOff>
        </xdr:to>
        <xdr:sp macro="" textlink="">
          <xdr:nvSpPr>
            <xdr:cNvPr id="1027" name="TextBox1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28575</xdr:colOff>
          <xdr:row>12</xdr:row>
          <xdr:rowOff>9525</xdr:rowOff>
        </xdr:from>
        <xdr:to>
          <xdr:col>16</xdr:col>
          <xdr:colOff>723900</xdr:colOff>
          <xdr:row>18</xdr:row>
          <xdr:rowOff>19050</xdr:rowOff>
        </xdr:to>
        <xdr:sp macro="" textlink="">
          <xdr:nvSpPr>
            <xdr:cNvPr id="1028" name="btn_send_binary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28575</xdr:colOff>
          <xdr:row>1</xdr:row>
          <xdr:rowOff>9525</xdr:rowOff>
        </xdr:from>
        <xdr:to>
          <xdr:col>16</xdr:col>
          <xdr:colOff>723900</xdr:colOff>
          <xdr:row>9</xdr:row>
          <xdr:rowOff>9525</xdr:rowOff>
        </xdr:to>
        <xdr:sp macro="" textlink="">
          <xdr:nvSpPr>
            <xdr:cNvPr id="1029" name="btn_send_decimal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28575</xdr:colOff>
          <xdr:row>21</xdr:row>
          <xdr:rowOff>0</xdr:rowOff>
        </xdr:from>
        <xdr:to>
          <xdr:col>16</xdr:col>
          <xdr:colOff>723900</xdr:colOff>
          <xdr:row>27</xdr:row>
          <xdr:rowOff>9525</xdr:rowOff>
        </xdr:to>
        <xdr:sp macro="" textlink="">
          <xdr:nvSpPr>
            <xdr:cNvPr id="1030" name="btn_find_parsing_rules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image" Target="../media/image3.emf"/><Relationship Id="rId3" Type="http://schemas.openxmlformats.org/officeDocument/2006/relationships/control" Target="../activeX/activeX1.xml"/><Relationship Id="rId7" Type="http://schemas.openxmlformats.org/officeDocument/2006/relationships/control" Target="../activeX/activeX3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image" Target="../media/image2.emf"/><Relationship Id="rId5" Type="http://schemas.openxmlformats.org/officeDocument/2006/relationships/control" Target="../activeX/activeX2.xml"/><Relationship Id="rId10" Type="http://schemas.openxmlformats.org/officeDocument/2006/relationships/image" Target="../media/image4.emf"/><Relationship Id="rId4" Type="http://schemas.openxmlformats.org/officeDocument/2006/relationships/image" Target="../media/image1.emf"/><Relationship Id="rId9" Type="http://schemas.openxmlformats.org/officeDocument/2006/relationships/control" Target="../activeX/activeX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S1412"/>
  <sheetViews>
    <sheetView tabSelected="1" zoomScaleNormal="100" workbookViewId="0">
      <selection activeCell="B18" sqref="B18"/>
    </sheetView>
  </sheetViews>
  <sheetFormatPr defaultColWidth="9.140625" defaultRowHeight="15" x14ac:dyDescent="0.25"/>
  <cols>
    <col min="1" max="1" width="3.42578125" style="1" customWidth="1"/>
    <col min="2" max="16" width="5.7109375" style="1" customWidth="1"/>
    <col min="17" max="17" width="49.28515625" style="1" customWidth="1"/>
    <col min="18" max="22" width="7.7109375" style="1" customWidth="1"/>
    <col min="23" max="37" width="5" style="1" customWidth="1"/>
    <col min="38" max="16384" width="9.140625" style="1"/>
  </cols>
  <sheetData>
    <row r="1" spans="1:45" x14ac:dyDescent="0.25">
      <c r="A1" s="3"/>
      <c r="B1" s="3"/>
      <c r="C1" s="3"/>
      <c r="D1" s="3"/>
      <c r="E1" s="3"/>
      <c r="F1" s="3"/>
      <c r="G1" s="3"/>
      <c r="H1" s="3"/>
      <c r="I1" s="3"/>
      <c r="J1" s="3"/>
      <c r="K1" s="3"/>
      <c r="L1" s="3"/>
      <c r="M1" s="3"/>
      <c r="N1" s="3"/>
      <c r="O1" s="3"/>
      <c r="P1" s="3"/>
      <c r="Q1" s="5"/>
      <c r="R1" s="3"/>
      <c r="S1" s="3"/>
      <c r="T1" s="3"/>
      <c r="U1" s="3"/>
      <c r="V1" s="3"/>
      <c r="W1" s="3"/>
      <c r="X1" s="3"/>
      <c r="Y1" s="3"/>
      <c r="Z1" s="3"/>
      <c r="AA1" s="3"/>
      <c r="AB1" s="3"/>
      <c r="AC1" s="3"/>
      <c r="AD1" s="3"/>
      <c r="AE1" s="3"/>
      <c r="AF1" s="3"/>
      <c r="AG1" s="3"/>
      <c r="AH1" s="3"/>
      <c r="AI1" s="3"/>
      <c r="AJ1" s="3"/>
      <c r="AK1" s="3"/>
      <c r="AL1" s="3"/>
      <c r="AM1" s="3"/>
      <c r="AN1" s="3"/>
      <c r="AO1" s="3"/>
      <c r="AP1" s="3"/>
      <c r="AQ1" s="3"/>
      <c r="AR1" s="3"/>
      <c r="AS1" s="3"/>
    </row>
    <row r="2" spans="1:45" x14ac:dyDescent="0.25">
      <c r="A2" s="3"/>
      <c r="B2" s="11" t="s">
        <v>21</v>
      </c>
      <c r="C2" s="12"/>
      <c r="D2" s="12"/>
      <c r="E2" s="12"/>
      <c r="F2" s="12"/>
      <c r="G2" s="12"/>
      <c r="H2" s="12"/>
      <c r="I2" s="12"/>
      <c r="J2" s="12"/>
      <c r="K2" s="12"/>
      <c r="L2" s="12"/>
      <c r="M2" s="12"/>
      <c r="N2" s="12"/>
      <c r="O2" s="12"/>
      <c r="P2" s="13"/>
      <c r="Q2" s="6"/>
      <c r="R2" s="6"/>
      <c r="S2" s="6"/>
      <c r="T2" s="6"/>
      <c r="U2" s="6"/>
      <c r="V2" s="6"/>
      <c r="W2" s="11" t="s">
        <v>22</v>
      </c>
      <c r="X2" s="12"/>
      <c r="Y2" s="12"/>
      <c r="Z2" s="12"/>
      <c r="AA2" s="12"/>
      <c r="AB2" s="12"/>
      <c r="AC2" s="12"/>
      <c r="AD2" s="12"/>
      <c r="AE2" s="12"/>
      <c r="AF2" s="12"/>
      <c r="AG2" s="12"/>
      <c r="AH2" s="12"/>
      <c r="AI2" s="12"/>
      <c r="AJ2" s="12"/>
      <c r="AK2" s="13"/>
      <c r="AL2" s="3"/>
      <c r="AM2" s="3"/>
      <c r="AN2" s="3"/>
      <c r="AO2" s="3"/>
      <c r="AP2" s="3"/>
      <c r="AQ2" s="3"/>
      <c r="AR2" s="3"/>
      <c r="AS2" s="3"/>
    </row>
    <row r="3" spans="1:45" x14ac:dyDescent="0.25">
      <c r="A3" s="3"/>
      <c r="B3" s="17" t="s">
        <v>3</v>
      </c>
      <c r="C3" s="18"/>
      <c r="D3" s="8">
        <v>22</v>
      </c>
      <c r="E3" s="23" t="s">
        <v>4</v>
      </c>
      <c r="F3" s="24"/>
      <c r="G3" s="8">
        <v>34</v>
      </c>
      <c r="H3" s="17" t="s">
        <v>8</v>
      </c>
      <c r="I3" s="18"/>
      <c r="J3" s="18"/>
      <c r="K3" s="18">
        <f>LEN(B7)</f>
        <v>37</v>
      </c>
      <c r="L3" s="18"/>
      <c r="M3" s="18"/>
      <c r="N3" s="18"/>
      <c r="O3" s="18"/>
      <c r="P3" s="22"/>
      <c r="Q3" s="6"/>
      <c r="R3" s="6"/>
      <c r="S3" s="6"/>
      <c r="T3" s="6"/>
      <c r="U3" s="6"/>
      <c r="V3" s="6"/>
      <c r="W3" s="17" t="s">
        <v>3</v>
      </c>
      <c r="X3" s="18"/>
      <c r="Y3" s="8">
        <v>1</v>
      </c>
      <c r="Z3" s="23" t="s">
        <v>4</v>
      </c>
      <c r="AA3" s="24"/>
      <c r="AB3" s="8">
        <v>5</v>
      </c>
      <c r="AC3" s="17" t="s">
        <v>8</v>
      </c>
      <c r="AD3" s="18"/>
      <c r="AE3" s="18"/>
      <c r="AF3" s="18">
        <f>LEN(W7)</f>
        <v>29</v>
      </c>
      <c r="AG3" s="18"/>
      <c r="AH3" s="18"/>
      <c r="AI3" s="18"/>
      <c r="AJ3" s="18"/>
      <c r="AK3" s="22"/>
      <c r="AL3" s="3"/>
      <c r="AM3" s="3"/>
      <c r="AN3" s="3"/>
      <c r="AO3" s="3"/>
      <c r="AP3" s="3"/>
      <c r="AQ3" s="3"/>
      <c r="AR3" s="3"/>
      <c r="AS3" s="3"/>
    </row>
    <row r="4" spans="1:45" x14ac:dyDescent="0.25">
      <c r="A4" s="3"/>
      <c r="B4" s="25" t="s">
        <v>2</v>
      </c>
      <c r="C4" s="26"/>
      <c r="D4" s="26"/>
      <c r="E4" s="26"/>
      <c r="F4" s="26"/>
      <c r="G4" s="26"/>
      <c r="H4" s="26"/>
      <c r="I4" s="26"/>
      <c r="J4" s="26"/>
      <c r="K4" s="26"/>
      <c r="L4" s="26"/>
      <c r="M4" s="26"/>
      <c r="N4" s="26"/>
      <c r="O4" s="26"/>
      <c r="P4" s="27"/>
      <c r="Q4" s="6"/>
      <c r="R4" s="6"/>
      <c r="S4" s="6"/>
      <c r="T4" s="6"/>
      <c r="U4" s="6"/>
      <c r="V4" s="6"/>
      <c r="W4" s="25" t="s">
        <v>2</v>
      </c>
      <c r="X4" s="26"/>
      <c r="Y4" s="26"/>
      <c r="Z4" s="26"/>
      <c r="AA4" s="26"/>
      <c r="AB4" s="26"/>
      <c r="AC4" s="26"/>
      <c r="AD4" s="26"/>
      <c r="AE4" s="26"/>
      <c r="AF4" s="26"/>
      <c r="AG4" s="26"/>
      <c r="AH4" s="26"/>
      <c r="AI4" s="26"/>
      <c r="AJ4" s="26"/>
      <c r="AK4" s="27"/>
      <c r="AL4" s="3"/>
      <c r="AM4" s="3"/>
      <c r="AN4" s="3"/>
      <c r="AO4" s="3"/>
      <c r="AP4" s="3"/>
      <c r="AQ4" s="3"/>
      <c r="AR4" s="3"/>
      <c r="AS4" s="3"/>
    </row>
    <row r="5" spans="1:45" x14ac:dyDescent="0.25">
      <c r="A5" s="3"/>
      <c r="B5" s="9" t="s">
        <v>6</v>
      </c>
      <c r="C5" s="9" t="s">
        <v>6</v>
      </c>
      <c r="D5" s="9" t="s">
        <v>6</v>
      </c>
      <c r="E5" s="9" t="s">
        <v>6</v>
      </c>
      <c r="F5" s="9" t="s">
        <v>6</v>
      </c>
      <c r="G5" s="9" t="s">
        <v>187</v>
      </c>
      <c r="H5" s="9" t="s">
        <v>185</v>
      </c>
      <c r="I5" s="9" t="s">
        <v>188</v>
      </c>
      <c r="J5" s="9" t="s">
        <v>6</v>
      </c>
      <c r="K5" s="9" t="s">
        <v>189</v>
      </c>
      <c r="L5" s="9" t="s">
        <v>9</v>
      </c>
      <c r="M5" s="9" t="s">
        <v>9</v>
      </c>
      <c r="N5" s="9" t="s">
        <v>9</v>
      </c>
      <c r="O5" s="9" t="s">
        <v>9</v>
      </c>
      <c r="P5" s="9" t="s">
        <v>9</v>
      </c>
      <c r="Q5" s="6"/>
      <c r="R5" s="6"/>
      <c r="S5" s="6"/>
      <c r="T5" s="6"/>
      <c r="U5" s="6"/>
      <c r="V5" s="6"/>
      <c r="W5" s="10">
        <v>0</v>
      </c>
      <c r="X5" s="9" t="s">
        <v>6</v>
      </c>
      <c r="Y5" s="9" t="s">
        <v>6</v>
      </c>
      <c r="Z5" s="9" t="s">
        <v>17</v>
      </c>
      <c r="AA5" s="9" t="s">
        <v>7</v>
      </c>
      <c r="AB5" s="9" t="s">
        <v>12</v>
      </c>
      <c r="AC5" s="9" t="s">
        <v>18</v>
      </c>
      <c r="AD5" s="9" t="s">
        <v>19</v>
      </c>
      <c r="AE5" s="9"/>
      <c r="AF5" s="9"/>
      <c r="AG5" s="9"/>
      <c r="AH5" s="9" t="s">
        <v>9</v>
      </c>
      <c r="AI5" s="9" t="s">
        <v>9</v>
      </c>
      <c r="AJ5" s="9" t="s">
        <v>9</v>
      </c>
      <c r="AK5" s="9" t="s">
        <v>9</v>
      </c>
      <c r="AL5" s="3"/>
      <c r="AM5" s="3"/>
      <c r="AN5" s="3"/>
      <c r="AO5" s="3"/>
      <c r="AP5" s="3"/>
      <c r="AQ5" s="3"/>
      <c r="AR5" s="3"/>
      <c r="AS5" s="3"/>
    </row>
    <row r="6" spans="1:45" x14ac:dyDescent="0.25">
      <c r="A6" s="3"/>
      <c r="B6" s="14" t="s">
        <v>0</v>
      </c>
      <c r="C6" s="15"/>
      <c r="D6" s="15"/>
      <c r="E6" s="15"/>
      <c r="F6" s="15"/>
      <c r="G6" s="15"/>
      <c r="H6" s="15"/>
      <c r="I6" s="15"/>
      <c r="J6" s="15"/>
      <c r="K6" s="15"/>
      <c r="L6" s="15"/>
      <c r="M6" s="15"/>
      <c r="N6" s="15"/>
      <c r="O6" s="15"/>
      <c r="P6" s="16"/>
      <c r="Q6" s="6"/>
      <c r="R6" s="6"/>
      <c r="S6" s="6"/>
      <c r="T6" s="6"/>
      <c r="U6" s="6"/>
      <c r="V6" s="6"/>
      <c r="W6" s="14" t="s">
        <v>0</v>
      </c>
      <c r="X6" s="15"/>
      <c r="Y6" s="15"/>
      <c r="Z6" s="15"/>
      <c r="AA6" s="15"/>
      <c r="AB6" s="15"/>
      <c r="AC6" s="15"/>
      <c r="AD6" s="15"/>
      <c r="AE6" s="15"/>
      <c r="AF6" s="15"/>
      <c r="AG6" s="15"/>
      <c r="AH6" s="15"/>
      <c r="AI6" s="15"/>
      <c r="AJ6" s="15"/>
      <c r="AK6" s="16"/>
      <c r="AL6" s="3"/>
      <c r="AM6" s="3"/>
      <c r="AN6" s="3"/>
      <c r="AO6" s="3"/>
      <c r="AP6" s="3"/>
      <c r="AQ6" s="3"/>
      <c r="AR6" s="3"/>
      <c r="AS6" s="3"/>
    </row>
    <row r="7" spans="1:45" x14ac:dyDescent="0.25">
      <c r="A7" s="3"/>
      <c r="B7" s="19" t="str">
        <f>B5&amp;C5&amp;D5&amp;E5&amp;F5&amp;G5&amp;H5&amp;I5&amp;J5&amp;K5&amp;L5&amp;M5&amp;N5&amp;O5&amp;P5</f>
        <v>0000000000000000000011100010100000000</v>
      </c>
      <c r="C7" s="20"/>
      <c r="D7" s="20"/>
      <c r="E7" s="20"/>
      <c r="F7" s="20"/>
      <c r="G7" s="20"/>
      <c r="H7" s="20"/>
      <c r="I7" s="20"/>
      <c r="J7" s="20"/>
      <c r="K7" s="20"/>
      <c r="L7" s="20"/>
      <c r="M7" s="20"/>
      <c r="N7" s="20"/>
      <c r="O7" s="20"/>
      <c r="P7" s="21"/>
      <c r="Q7" s="6"/>
      <c r="R7" s="6"/>
      <c r="S7" s="6"/>
      <c r="T7" s="6"/>
      <c r="U7" s="6"/>
      <c r="V7" s="6"/>
      <c r="W7" s="19" t="str">
        <f>W5&amp;X5&amp;Y5&amp;Z5&amp;AA5&amp;AB5&amp;AC5&amp;AD5&amp;AE5&amp;AF5&amp;AG5&amp;AH5&amp;AI5&amp;AJ5&amp;AK5</f>
        <v>00000000000010111101110011100</v>
      </c>
      <c r="X7" s="20"/>
      <c r="Y7" s="20"/>
      <c r="Z7" s="20"/>
      <c r="AA7" s="20"/>
      <c r="AB7" s="20"/>
      <c r="AC7" s="20"/>
      <c r="AD7" s="20"/>
      <c r="AE7" s="20"/>
      <c r="AF7" s="20"/>
      <c r="AG7" s="20"/>
      <c r="AH7" s="20"/>
      <c r="AI7" s="20"/>
      <c r="AJ7" s="20"/>
      <c r="AK7" s="21"/>
      <c r="AL7" s="3"/>
      <c r="AM7" s="3"/>
      <c r="AN7" s="3"/>
      <c r="AO7" s="3"/>
      <c r="AP7" s="3"/>
      <c r="AQ7" s="3"/>
      <c r="AR7" s="3"/>
      <c r="AS7" s="3"/>
    </row>
    <row r="8" spans="1:45" x14ac:dyDescent="0.25">
      <c r="A8" s="3"/>
      <c r="B8" s="28" t="s">
        <v>5</v>
      </c>
      <c r="C8" s="29"/>
      <c r="D8" s="29"/>
      <c r="E8" s="29"/>
      <c r="F8" s="29"/>
      <c r="G8" s="30"/>
      <c r="H8" s="34" t="s">
        <v>1</v>
      </c>
      <c r="I8" s="35"/>
      <c r="J8" s="35"/>
      <c r="K8" s="35"/>
      <c r="L8" s="35"/>
      <c r="M8" s="35"/>
      <c r="N8" s="35"/>
      <c r="O8" s="35"/>
      <c r="P8" s="36"/>
      <c r="Q8" s="6"/>
      <c r="R8" s="6"/>
      <c r="S8" s="6"/>
      <c r="T8" s="6"/>
      <c r="U8" s="6"/>
      <c r="V8" s="6"/>
      <c r="W8" s="28" t="s">
        <v>24</v>
      </c>
      <c r="X8" s="29"/>
      <c r="Y8" s="29"/>
      <c r="Z8" s="29"/>
      <c r="AA8" s="29"/>
      <c r="AB8" s="30"/>
      <c r="AC8" s="34" t="s">
        <v>23</v>
      </c>
      <c r="AD8" s="35"/>
      <c r="AE8" s="35"/>
      <c r="AF8" s="35"/>
      <c r="AG8" s="35"/>
      <c r="AH8" s="35"/>
      <c r="AI8" s="35"/>
      <c r="AJ8" s="35"/>
      <c r="AK8" s="36"/>
      <c r="AL8" s="3"/>
      <c r="AM8" s="3"/>
      <c r="AN8" s="3"/>
      <c r="AO8" s="3"/>
      <c r="AP8" s="3"/>
      <c r="AQ8" s="3"/>
      <c r="AR8" s="3"/>
      <c r="AS8" s="3"/>
    </row>
    <row r="9" spans="1:45" x14ac:dyDescent="0.25">
      <c r="A9" s="3"/>
      <c r="B9" s="31" t="str">
        <f>IF(AND(ISNUMBER(D3),ISNUMBER(G3),NOT(ISBLANK(B7))),MID(B7,D3,G3),"error")</f>
        <v>1100010100000000</v>
      </c>
      <c r="C9" s="32"/>
      <c r="D9" s="32"/>
      <c r="E9" s="32"/>
      <c r="F9" s="32"/>
      <c r="G9" s="33"/>
      <c r="H9" s="37" cm="1">
        <f t="array" ref="H9">binary_to_decimal(B9)</f>
        <v>50432</v>
      </c>
      <c r="I9" s="38"/>
      <c r="J9" s="38"/>
      <c r="K9" s="38"/>
      <c r="L9" s="38"/>
      <c r="M9" s="38"/>
      <c r="N9" s="38"/>
      <c r="O9" s="38"/>
      <c r="P9" s="39"/>
      <c r="Q9" s="4"/>
      <c r="R9" s="4"/>
      <c r="S9" s="4"/>
      <c r="T9" s="4"/>
      <c r="U9" s="4"/>
      <c r="V9" s="4"/>
      <c r="W9" s="31" t="str">
        <f>MID(AC9,Y3,AB3)</f>
        <v>97180</v>
      </c>
      <c r="X9" s="32"/>
      <c r="Y9" s="32"/>
      <c r="Z9" s="32"/>
      <c r="AA9" s="32"/>
      <c r="AB9" s="33"/>
      <c r="AC9" s="37" cm="1">
        <f t="array" ref="AC9">binary_to_decimal(W7)</f>
        <v>97180</v>
      </c>
      <c r="AD9" s="38"/>
      <c r="AE9" s="38"/>
      <c r="AF9" s="38"/>
      <c r="AG9" s="38"/>
      <c r="AH9" s="38"/>
      <c r="AI9" s="38"/>
      <c r="AJ9" s="38"/>
      <c r="AK9" s="39"/>
      <c r="AL9" s="3"/>
      <c r="AM9" s="3"/>
      <c r="AN9" s="3"/>
      <c r="AO9" s="3"/>
      <c r="AP9" s="3"/>
      <c r="AQ9" s="3"/>
      <c r="AR9" s="3"/>
      <c r="AS9" s="3"/>
    </row>
    <row r="10" spans="1:45" x14ac:dyDescent="0.25">
      <c r="A10" s="3"/>
      <c r="B10" s="3"/>
      <c r="C10" s="4"/>
      <c r="D10" s="4"/>
      <c r="E10" s="4"/>
      <c r="F10" s="4"/>
      <c r="G10" s="4"/>
      <c r="H10" s="4" t="s">
        <v>10</v>
      </c>
      <c r="I10" s="4"/>
      <c r="J10" s="4"/>
      <c r="K10" s="4"/>
      <c r="L10" s="4"/>
      <c r="M10" s="4"/>
      <c r="N10" s="4"/>
      <c r="O10" s="4"/>
      <c r="P10" s="4"/>
      <c r="Q10" s="4"/>
      <c r="R10" s="4"/>
      <c r="S10" s="4"/>
      <c r="T10" s="4"/>
      <c r="U10" s="4"/>
      <c r="V10" s="4"/>
      <c r="W10" s="4"/>
      <c r="X10" s="4"/>
      <c r="Y10" s="4"/>
      <c r="Z10" s="4"/>
      <c r="AA10" s="4"/>
      <c r="AB10" s="3"/>
      <c r="AC10" s="3"/>
      <c r="AD10" s="3"/>
      <c r="AE10" s="3"/>
      <c r="AF10" s="3"/>
      <c r="AG10" s="3"/>
      <c r="AH10" s="3"/>
      <c r="AI10" s="3"/>
      <c r="AJ10" s="3"/>
      <c r="AK10" s="3"/>
      <c r="AL10" s="3"/>
      <c r="AM10" s="3"/>
      <c r="AN10" s="3"/>
      <c r="AO10" s="3"/>
      <c r="AP10" s="3"/>
      <c r="AQ10" s="3"/>
      <c r="AR10" s="3"/>
      <c r="AS10" s="3"/>
    </row>
    <row r="11" spans="1:45" x14ac:dyDescent="0.25">
      <c r="A11" s="3"/>
      <c r="B11" s="3"/>
      <c r="C11" s="4"/>
      <c r="D11" s="4"/>
      <c r="E11" s="4"/>
      <c r="F11" s="4"/>
      <c r="G11" s="4"/>
      <c r="H11" s="4"/>
      <c r="I11" s="4"/>
      <c r="J11" s="4"/>
      <c r="K11" s="4"/>
      <c r="L11" s="4"/>
      <c r="M11" s="4"/>
      <c r="N11" s="4"/>
      <c r="O11" s="4"/>
      <c r="P11" s="4"/>
      <c r="Q11" s="4"/>
      <c r="R11" s="4"/>
      <c r="S11" s="4"/>
      <c r="T11" s="4"/>
      <c r="U11" s="4"/>
      <c r="V11" s="4"/>
      <c r="W11" s="4"/>
      <c r="X11" s="4"/>
      <c r="Y11" s="4"/>
      <c r="Z11" s="4"/>
      <c r="AA11" s="4"/>
      <c r="AB11" s="3"/>
      <c r="AC11" s="3"/>
      <c r="AD11" s="3"/>
      <c r="AE11" s="3"/>
      <c r="AF11" s="3"/>
      <c r="AG11" s="3"/>
      <c r="AH11" s="3"/>
      <c r="AI11" s="3"/>
      <c r="AJ11" s="3"/>
      <c r="AK11" s="3"/>
      <c r="AL11" s="3"/>
      <c r="AM11" s="3"/>
      <c r="AN11" s="3"/>
      <c r="AO11" s="3"/>
      <c r="AP11" s="3"/>
      <c r="AQ11" s="3"/>
      <c r="AR11" s="3"/>
      <c r="AS11" s="3"/>
    </row>
    <row r="12" spans="1:45" x14ac:dyDescent="0.25">
      <c r="A12" s="3"/>
      <c r="B12" s="3"/>
      <c r="C12" s="4"/>
      <c r="D12" s="4"/>
      <c r="E12" s="4"/>
      <c r="F12" s="4"/>
      <c r="G12" s="4"/>
      <c r="H12" s="4"/>
      <c r="I12" s="4"/>
      <c r="J12" s="4"/>
      <c r="K12" s="4"/>
      <c r="L12" s="4"/>
      <c r="M12" s="4"/>
      <c r="N12" s="4"/>
      <c r="O12" s="4"/>
      <c r="P12" s="4"/>
      <c r="Q12" s="4"/>
      <c r="R12" s="4"/>
      <c r="S12" s="4"/>
      <c r="T12" s="4"/>
      <c r="U12" s="4"/>
      <c r="V12" s="4"/>
      <c r="W12" s="4"/>
      <c r="X12" s="4"/>
      <c r="Y12" s="4"/>
      <c r="Z12" s="4"/>
      <c r="AA12" s="4"/>
      <c r="AB12" s="3"/>
      <c r="AC12" s="3"/>
      <c r="AD12" s="3"/>
      <c r="AE12" s="3"/>
      <c r="AF12" s="3"/>
      <c r="AG12" s="3"/>
      <c r="AH12" s="3"/>
      <c r="AI12" s="3"/>
      <c r="AJ12" s="3"/>
      <c r="AK12" s="3"/>
      <c r="AL12" s="3"/>
      <c r="AM12" s="3"/>
      <c r="AN12" s="3"/>
      <c r="AO12" s="3"/>
      <c r="AP12" s="3"/>
      <c r="AQ12" s="3"/>
      <c r="AR12" s="3"/>
      <c r="AS12" s="3"/>
    </row>
    <row r="13" spans="1:45" x14ac:dyDescent="0.25">
      <c r="A13" s="3"/>
      <c r="B13" s="11" t="s">
        <v>20</v>
      </c>
      <c r="C13" s="12"/>
      <c r="D13" s="12"/>
      <c r="E13" s="12"/>
      <c r="F13" s="12"/>
      <c r="G13" s="12"/>
      <c r="H13" s="12"/>
      <c r="I13" s="12"/>
      <c r="J13" s="12"/>
      <c r="K13" s="12"/>
      <c r="L13" s="12"/>
      <c r="M13" s="12"/>
      <c r="N13" s="12"/>
      <c r="O13" s="12"/>
      <c r="P13" s="13"/>
      <c r="Q13" s="4"/>
      <c r="R13" s="4"/>
      <c r="S13" s="4"/>
      <c r="T13" s="4"/>
      <c r="U13" s="4"/>
      <c r="V13" s="4"/>
      <c r="W13" s="4"/>
      <c r="X13" s="4"/>
      <c r="Y13" s="4"/>
      <c r="Z13" s="4"/>
      <c r="AA13" s="4"/>
      <c r="AB13" s="4"/>
      <c r="AC13" s="4"/>
      <c r="AD13" s="4"/>
      <c r="AE13" s="4"/>
      <c r="AF13" s="4"/>
      <c r="AG13" s="4"/>
      <c r="AH13" s="4"/>
      <c r="AI13" s="4"/>
      <c r="AJ13" s="4"/>
      <c r="AK13" s="4"/>
      <c r="AL13" s="3"/>
      <c r="AM13" s="3"/>
      <c r="AN13" s="3"/>
      <c r="AO13" s="3"/>
      <c r="AP13" s="3"/>
      <c r="AQ13" s="3"/>
      <c r="AR13" s="3"/>
      <c r="AS13" s="3"/>
    </row>
    <row r="14" spans="1:45" x14ac:dyDescent="0.25">
      <c r="A14" s="3"/>
      <c r="B14" s="17" t="s">
        <v>3</v>
      </c>
      <c r="C14" s="18"/>
      <c r="D14" s="8">
        <v>17</v>
      </c>
      <c r="E14" s="40" t="s">
        <v>4</v>
      </c>
      <c r="F14" s="41"/>
      <c r="G14" s="8">
        <v>20</v>
      </c>
      <c r="H14" s="17" t="s">
        <v>11</v>
      </c>
      <c r="I14" s="18"/>
      <c r="J14" s="18"/>
      <c r="K14" s="18"/>
      <c r="L14" s="18"/>
      <c r="M14" s="18"/>
      <c r="N14" s="18"/>
      <c r="O14" s="18"/>
      <c r="P14" s="8">
        <v>37</v>
      </c>
      <c r="Q14" s="4"/>
      <c r="R14" s="4"/>
      <c r="S14" s="4"/>
      <c r="T14" s="4"/>
      <c r="U14" s="4"/>
      <c r="V14" s="4"/>
      <c r="W14" s="4"/>
      <c r="X14" s="4"/>
      <c r="Y14" s="4"/>
      <c r="Z14" s="4"/>
      <c r="AA14" s="4"/>
      <c r="AB14" s="4"/>
      <c r="AC14" s="4"/>
      <c r="AD14" s="4"/>
      <c r="AE14" s="4"/>
      <c r="AF14" s="4"/>
      <c r="AG14" s="4"/>
      <c r="AH14" s="4"/>
      <c r="AI14" s="4"/>
      <c r="AJ14" s="4"/>
      <c r="AK14" s="4"/>
      <c r="AL14" s="3"/>
      <c r="AM14" s="3"/>
      <c r="AN14" s="3"/>
      <c r="AO14" s="3"/>
      <c r="AP14" s="3"/>
      <c r="AQ14" s="3"/>
      <c r="AR14" s="3"/>
      <c r="AS14" s="3"/>
    </row>
    <row r="15" spans="1:45" x14ac:dyDescent="0.25">
      <c r="A15" s="3"/>
      <c r="B15" s="34" t="s">
        <v>1</v>
      </c>
      <c r="C15" s="35"/>
      <c r="D15" s="35"/>
      <c r="E15" s="35"/>
      <c r="F15" s="35"/>
      <c r="G15" s="36"/>
      <c r="H15" s="42" t="s">
        <v>0</v>
      </c>
      <c r="I15" s="43"/>
      <c r="J15" s="43"/>
      <c r="K15" s="43"/>
      <c r="L15" s="43"/>
      <c r="M15" s="43"/>
      <c r="N15" s="43"/>
      <c r="O15" s="43"/>
      <c r="P15" s="44"/>
      <c r="Q15" s="4" t="s">
        <v>0</v>
      </c>
      <c r="R15" s="4"/>
      <c r="S15" s="4"/>
      <c r="T15" s="4"/>
      <c r="U15" s="4"/>
      <c r="V15" s="4"/>
      <c r="W15" s="4"/>
      <c r="X15" s="4"/>
      <c r="Y15" s="4"/>
      <c r="Z15" s="4"/>
      <c r="AA15" s="4"/>
      <c r="AB15" s="4"/>
      <c r="AC15" s="4"/>
      <c r="AD15" s="4"/>
      <c r="AE15" s="4"/>
      <c r="AF15" s="4"/>
      <c r="AG15" s="4"/>
      <c r="AH15" s="4"/>
      <c r="AI15" s="4"/>
      <c r="AJ15" s="4"/>
      <c r="AK15" s="4"/>
      <c r="AL15" s="3"/>
      <c r="AM15" s="3"/>
      <c r="AN15" s="3"/>
      <c r="AO15" s="3"/>
      <c r="AP15" s="3"/>
      <c r="AQ15" s="3"/>
      <c r="AR15" s="3"/>
      <c r="AS15" s="3"/>
    </row>
    <row r="16" spans="1:45" x14ac:dyDescent="0.25">
      <c r="A16" s="3"/>
      <c r="B16" s="51">
        <v>57984</v>
      </c>
      <c r="C16" s="46"/>
      <c r="D16" s="46"/>
      <c r="E16" s="46"/>
      <c r="F16" s="46"/>
      <c r="G16" s="47"/>
      <c r="H16" s="19" t="str" cm="1">
        <f t="array" ref="H16">IF(AND(ISNUMBER(D14),ISNUMBER(G14),ISNUMBER(B16),ISNUMBER(P14)),decimal_to_binary(B16,D14,G14,P14),"error")</f>
        <v>0000000000000000000011100010100000000</v>
      </c>
      <c r="I16" s="20"/>
      <c r="J16" s="20"/>
      <c r="K16" s="20"/>
      <c r="L16" s="20"/>
      <c r="M16" s="20"/>
      <c r="N16" s="20"/>
      <c r="O16" s="20"/>
      <c r="P16" s="21"/>
      <c r="Q16" s="4"/>
      <c r="R16" s="4"/>
      <c r="S16" s="4"/>
      <c r="T16" s="4"/>
      <c r="U16" s="4"/>
      <c r="V16" s="4"/>
      <c r="W16" s="4"/>
      <c r="X16" s="4"/>
      <c r="Y16" s="4"/>
      <c r="Z16" s="4"/>
      <c r="AA16" s="4"/>
      <c r="AB16" s="4"/>
      <c r="AC16" s="4"/>
      <c r="AD16" s="4"/>
      <c r="AE16" s="4"/>
      <c r="AF16" s="4"/>
      <c r="AG16" s="4"/>
      <c r="AH16" s="4"/>
      <c r="AI16" s="4"/>
      <c r="AJ16" s="4"/>
      <c r="AK16" s="4"/>
      <c r="AL16" s="3"/>
      <c r="AM16" s="3"/>
      <c r="AN16" s="3"/>
      <c r="AO16" s="3"/>
      <c r="AP16" s="3"/>
      <c r="AQ16" s="3"/>
      <c r="AR16" s="3"/>
      <c r="AS16" s="3"/>
    </row>
    <row r="17" spans="1:45" x14ac:dyDescent="0.25">
      <c r="A17" s="3"/>
      <c r="B17" s="14" t="s">
        <v>2</v>
      </c>
      <c r="C17" s="15"/>
      <c r="D17" s="15"/>
      <c r="E17" s="15"/>
      <c r="F17" s="15"/>
      <c r="G17" s="15"/>
      <c r="H17" s="15"/>
      <c r="I17" s="15"/>
      <c r="J17" s="15"/>
      <c r="K17" s="15"/>
      <c r="L17" s="15"/>
      <c r="M17" s="15"/>
      <c r="N17" s="15"/>
      <c r="O17" s="15"/>
      <c r="P17" s="16"/>
      <c r="Q17" s="3"/>
      <c r="R17" s="3"/>
      <c r="S17" s="3"/>
      <c r="T17" s="3"/>
      <c r="U17" s="3"/>
      <c r="V17" s="3"/>
      <c r="W17" s="4"/>
      <c r="X17" s="4"/>
      <c r="Y17" s="4"/>
      <c r="Z17" s="4"/>
      <c r="AA17" s="4"/>
      <c r="AB17" s="4"/>
      <c r="AC17" s="4"/>
      <c r="AD17" s="4"/>
      <c r="AE17" s="4"/>
      <c r="AF17" s="4"/>
      <c r="AG17" s="4"/>
      <c r="AH17" s="4"/>
      <c r="AI17" s="4"/>
      <c r="AJ17" s="4"/>
      <c r="AK17" s="4"/>
      <c r="AL17" s="3"/>
      <c r="AM17" s="3"/>
      <c r="AN17" s="3"/>
      <c r="AO17" s="3"/>
      <c r="AP17" s="3"/>
      <c r="AQ17" s="3"/>
      <c r="AR17" s="3"/>
      <c r="AS17" s="3"/>
    </row>
    <row r="18" spans="1:45" s="2" customFormat="1" x14ac:dyDescent="0.25">
      <c r="A18" s="4"/>
      <c r="B18" s="7" t="str">
        <f t="shared" ref="B18:P18" si="0">MID($H16,(COLUMN(B17) - 2) *4 + 1,4)</f>
        <v>0000</v>
      </c>
      <c r="C18" s="7" t="str">
        <f t="shared" si="0"/>
        <v>0000</v>
      </c>
      <c r="D18" s="7" t="str">
        <f t="shared" si="0"/>
        <v>0000</v>
      </c>
      <c r="E18" s="7" t="str">
        <f t="shared" si="0"/>
        <v>0000</v>
      </c>
      <c r="F18" s="7" t="str">
        <f t="shared" si="0"/>
        <v>0000</v>
      </c>
      <c r="G18" s="7" t="str">
        <f t="shared" si="0"/>
        <v>1110</v>
      </c>
      <c r="H18" s="7" t="str">
        <f t="shared" si="0"/>
        <v>0010</v>
      </c>
      <c r="I18" s="7" t="str">
        <f t="shared" si="0"/>
        <v>1000</v>
      </c>
      <c r="J18" s="7" t="str">
        <f t="shared" si="0"/>
        <v>0000</v>
      </c>
      <c r="K18" s="7" t="str">
        <f t="shared" si="0"/>
        <v>0</v>
      </c>
      <c r="L18" s="7" t="str">
        <f t="shared" si="0"/>
        <v/>
      </c>
      <c r="M18" s="7" t="str">
        <f t="shared" si="0"/>
        <v/>
      </c>
      <c r="N18" s="7" t="str">
        <f t="shared" si="0"/>
        <v/>
      </c>
      <c r="O18" s="7" t="str">
        <f t="shared" si="0"/>
        <v/>
      </c>
      <c r="P18" s="7" t="str">
        <f t="shared" si="0"/>
        <v/>
      </c>
      <c r="Q18" s="4"/>
      <c r="R18" s="4"/>
      <c r="S18" s="3"/>
      <c r="T18" s="3"/>
      <c r="U18" s="4"/>
      <c r="V18" s="4"/>
      <c r="W18" s="4"/>
      <c r="X18" s="4"/>
      <c r="Y18" s="4"/>
      <c r="Z18" s="4"/>
      <c r="AA18" s="4"/>
      <c r="AB18" s="4"/>
      <c r="AC18" s="4"/>
      <c r="AD18" s="4"/>
      <c r="AE18" s="4"/>
      <c r="AF18" s="4"/>
      <c r="AG18" s="4"/>
      <c r="AH18" s="4"/>
      <c r="AI18" s="4"/>
      <c r="AJ18" s="4"/>
      <c r="AK18" s="4"/>
      <c r="AL18" s="4"/>
      <c r="AM18" s="4"/>
      <c r="AN18" s="4"/>
      <c r="AO18" s="4"/>
      <c r="AP18" s="4"/>
      <c r="AQ18" s="4"/>
      <c r="AR18" s="4"/>
      <c r="AS18" s="4"/>
    </row>
    <row r="19" spans="1:45" s="2" customFormat="1" x14ac:dyDescent="0.25">
      <c r="A19" s="4"/>
      <c r="B19" s="4"/>
      <c r="C19" s="4"/>
      <c r="D19" s="4"/>
      <c r="E19" s="4"/>
      <c r="F19" s="4"/>
      <c r="G19" s="4"/>
      <c r="H19" s="4"/>
      <c r="I19" s="4"/>
      <c r="J19" s="4"/>
      <c r="K19" s="4"/>
      <c r="L19" s="4"/>
      <c r="M19" s="4"/>
      <c r="N19" s="4"/>
      <c r="O19" s="4"/>
      <c r="P19" s="4"/>
      <c r="Q19" s="4"/>
      <c r="R19" s="4"/>
      <c r="S19" s="4"/>
      <c r="T19" s="4"/>
      <c r="U19" s="4"/>
      <c r="V19" s="4"/>
      <c r="W19" s="4"/>
      <c r="X19" s="4"/>
      <c r="Y19" s="4"/>
      <c r="Z19" s="4"/>
      <c r="AA19" s="4"/>
      <c r="AB19" s="4"/>
      <c r="AC19" s="4"/>
      <c r="AD19" s="4"/>
      <c r="AE19" s="4"/>
      <c r="AF19" s="4"/>
      <c r="AG19" s="4"/>
      <c r="AH19" s="4"/>
      <c r="AI19" s="4"/>
      <c r="AJ19" s="4"/>
      <c r="AK19" s="4"/>
      <c r="AL19" s="4"/>
      <c r="AM19" s="4"/>
      <c r="AN19" s="4"/>
      <c r="AO19" s="4"/>
      <c r="AP19" s="4"/>
      <c r="AQ19" s="4"/>
      <c r="AR19" s="4"/>
      <c r="AS19" s="4"/>
    </row>
    <row r="20" spans="1:45" s="2" customFormat="1" x14ac:dyDescent="0.25">
      <c r="A20" s="4"/>
      <c r="B20" s="4"/>
      <c r="C20" s="4"/>
      <c r="D20" s="4"/>
      <c r="E20" s="4"/>
      <c r="F20" s="4"/>
      <c r="G20" s="4"/>
      <c r="H20" s="4"/>
      <c r="I20" s="4"/>
      <c r="J20" s="4"/>
      <c r="K20" s="4"/>
      <c r="L20" s="4"/>
      <c r="M20" s="4"/>
      <c r="N20" s="4"/>
      <c r="O20" s="4"/>
      <c r="P20" s="4"/>
      <c r="Q20" s="4"/>
      <c r="R20" s="4"/>
      <c r="S20" s="4"/>
      <c r="T20" s="4"/>
      <c r="U20" s="4"/>
      <c r="V20" s="4"/>
      <c r="W20" s="4"/>
      <c r="X20" s="4"/>
      <c r="Y20" s="4"/>
      <c r="Z20" s="4"/>
      <c r="AA20" s="4"/>
      <c r="AB20" s="4"/>
      <c r="AC20" s="4"/>
      <c r="AD20" s="4"/>
      <c r="AE20" s="4"/>
      <c r="AF20" s="4"/>
      <c r="AG20" s="4"/>
      <c r="AH20" s="4"/>
      <c r="AI20" s="4"/>
      <c r="AJ20" s="4"/>
      <c r="AK20" s="4"/>
      <c r="AL20" s="4"/>
      <c r="AM20" s="4"/>
      <c r="AN20" s="4"/>
      <c r="AO20" s="4"/>
      <c r="AP20" s="4"/>
      <c r="AQ20" s="4"/>
      <c r="AR20" s="4"/>
      <c r="AS20" s="4"/>
    </row>
    <row r="21" spans="1:45" s="2" customFormat="1" x14ac:dyDescent="0.25">
      <c r="A21" s="4"/>
      <c r="B21" s="4"/>
      <c r="C21" s="4"/>
      <c r="D21" s="4"/>
      <c r="E21" s="4"/>
      <c r="F21" s="4"/>
      <c r="G21" s="4"/>
      <c r="H21" s="4"/>
      <c r="I21" s="4"/>
      <c r="J21" s="4"/>
      <c r="K21" s="4"/>
      <c r="L21" s="4"/>
      <c r="M21" s="4"/>
      <c r="N21" s="4"/>
      <c r="O21" s="4"/>
      <c r="P21" s="4"/>
      <c r="Q21" s="4"/>
      <c r="R21" s="4"/>
      <c r="S21" s="4"/>
      <c r="T21" s="4"/>
      <c r="U21" s="4"/>
      <c r="V21" s="4"/>
      <c r="W21" s="4"/>
      <c r="X21" s="4"/>
      <c r="Y21" s="4"/>
      <c r="Z21" s="4"/>
      <c r="AA21" s="4"/>
      <c r="AB21" s="4"/>
      <c r="AC21" s="4"/>
      <c r="AD21" s="4"/>
      <c r="AE21" s="4"/>
      <c r="AF21" s="4"/>
      <c r="AG21" s="4"/>
      <c r="AH21" s="4"/>
      <c r="AI21" s="4"/>
      <c r="AJ21" s="4"/>
      <c r="AK21" s="4"/>
      <c r="AL21" s="4"/>
      <c r="AM21" s="4"/>
      <c r="AN21" s="4"/>
      <c r="AO21" s="4"/>
      <c r="AP21" s="4"/>
      <c r="AQ21" s="4"/>
      <c r="AR21" s="4"/>
      <c r="AS21" s="4"/>
    </row>
    <row r="22" spans="1:45" s="2" customFormat="1" x14ac:dyDescent="0.25">
      <c r="A22" s="4"/>
      <c r="B22" s="11" t="s">
        <v>13</v>
      </c>
      <c r="C22" s="12"/>
      <c r="D22" s="12"/>
      <c r="E22" s="12"/>
      <c r="F22" s="12"/>
      <c r="G22" s="12"/>
      <c r="H22" s="12"/>
      <c r="I22" s="12"/>
      <c r="J22" s="12"/>
      <c r="K22" s="12"/>
      <c r="L22" s="12"/>
      <c r="M22" s="12"/>
      <c r="N22" s="12"/>
      <c r="O22" s="12"/>
      <c r="P22" s="13"/>
      <c r="Q22" s="4"/>
      <c r="R22" s="4"/>
      <c r="S22" s="4"/>
      <c r="T22" s="4"/>
      <c r="U22" s="4"/>
      <c r="V22" s="4"/>
      <c r="W22" s="4"/>
      <c r="X22" s="4"/>
      <c r="Y22" s="4"/>
      <c r="Z22" s="4"/>
      <c r="AA22" s="4"/>
      <c r="AB22" s="4"/>
      <c r="AC22" s="4"/>
      <c r="AD22" s="4"/>
      <c r="AE22" s="4"/>
      <c r="AF22" s="3"/>
      <c r="AG22" s="3"/>
      <c r="AH22" s="3"/>
      <c r="AI22" s="3"/>
      <c r="AJ22" s="3"/>
      <c r="AK22" s="3"/>
      <c r="AL22" s="4"/>
      <c r="AM22" s="4"/>
      <c r="AN22" s="4"/>
      <c r="AO22" s="4"/>
      <c r="AP22" s="4"/>
      <c r="AQ22" s="4"/>
      <c r="AR22" s="4"/>
      <c r="AS22" s="4"/>
    </row>
    <row r="23" spans="1:45" s="2" customFormat="1" x14ac:dyDescent="0.25">
      <c r="A23" s="4"/>
      <c r="B23" s="9" t="s">
        <v>184</v>
      </c>
      <c r="C23" s="9" t="s">
        <v>18</v>
      </c>
      <c r="D23" s="9" t="s">
        <v>7</v>
      </c>
      <c r="E23" s="9" t="s">
        <v>185</v>
      </c>
      <c r="F23" s="9" t="s">
        <v>184</v>
      </c>
      <c r="G23" s="9" t="s">
        <v>181</v>
      </c>
      <c r="H23" s="9" t="s">
        <v>186</v>
      </c>
      <c r="I23" s="9" t="s">
        <v>184</v>
      </c>
      <c r="J23" s="9" t="s">
        <v>6</v>
      </c>
      <c r="K23" s="9" t="s">
        <v>183</v>
      </c>
      <c r="L23" s="9" t="s">
        <v>182</v>
      </c>
      <c r="M23" s="9" t="s">
        <v>183</v>
      </c>
      <c r="N23" s="9" t="s">
        <v>17</v>
      </c>
      <c r="O23" s="9" t="s">
        <v>12</v>
      </c>
      <c r="P23" s="9" t="s">
        <v>9</v>
      </c>
      <c r="Q23" s="4"/>
      <c r="R23" s="4"/>
      <c r="S23" s="4"/>
      <c r="T23" s="4"/>
      <c r="U23" s="4"/>
      <c r="V23" s="4"/>
      <c r="W23" s="4"/>
      <c r="X23" s="4"/>
      <c r="Y23" s="4"/>
      <c r="Z23" s="4"/>
      <c r="AA23" s="4"/>
      <c r="AB23" s="4"/>
      <c r="AC23" s="4"/>
      <c r="AD23" s="4"/>
      <c r="AE23" s="4"/>
      <c r="AF23" s="3"/>
      <c r="AG23" s="3"/>
      <c r="AH23" s="3"/>
      <c r="AI23" s="3"/>
      <c r="AJ23" s="3"/>
      <c r="AK23" s="3"/>
      <c r="AL23" s="4"/>
      <c r="AM23" s="4"/>
      <c r="AN23" s="4"/>
      <c r="AO23" s="4"/>
      <c r="AP23" s="4"/>
      <c r="AQ23" s="4"/>
      <c r="AR23" s="4"/>
      <c r="AS23" s="4"/>
    </row>
    <row r="24" spans="1:45" s="2" customFormat="1" x14ac:dyDescent="0.25">
      <c r="A24" s="4"/>
      <c r="B24" s="42" t="s">
        <v>0</v>
      </c>
      <c r="C24" s="43"/>
      <c r="D24" s="43"/>
      <c r="E24" s="43"/>
      <c r="F24" s="43"/>
      <c r="G24" s="43"/>
      <c r="H24" s="43"/>
      <c r="I24" s="43"/>
      <c r="J24" s="43"/>
      <c r="K24" s="43"/>
      <c r="L24" s="43"/>
      <c r="M24" s="43"/>
      <c r="N24" s="43"/>
      <c r="O24" s="43"/>
      <c r="P24" s="44"/>
      <c r="Q24" s="4"/>
      <c r="R24" s="4"/>
      <c r="S24" s="4"/>
      <c r="T24" s="4"/>
      <c r="U24" s="4"/>
      <c r="V24" s="4"/>
      <c r="W24" s="4"/>
      <c r="X24" s="4"/>
      <c r="Y24" s="4"/>
      <c r="Z24" s="4"/>
      <c r="AA24" s="4"/>
      <c r="AB24" s="4"/>
      <c r="AC24" s="4"/>
      <c r="AD24" s="4"/>
      <c r="AE24" s="4"/>
      <c r="AF24" s="3"/>
      <c r="AG24" s="3"/>
      <c r="AH24" s="3"/>
      <c r="AI24" s="3"/>
      <c r="AJ24" s="3"/>
      <c r="AK24" s="3"/>
      <c r="AL24" s="4"/>
      <c r="AM24" s="4"/>
      <c r="AN24" s="4"/>
      <c r="AO24" s="4"/>
      <c r="AP24" s="4"/>
      <c r="AQ24" s="4"/>
      <c r="AR24" s="4"/>
      <c r="AS24" s="4"/>
    </row>
    <row r="25" spans="1:45" s="2" customFormat="1" x14ac:dyDescent="0.25">
      <c r="A25" s="4"/>
      <c r="B25" s="19" t="str">
        <f>B23&amp;C23&amp;D23&amp;E23&amp;F23&amp;G23&amp;H23&amp;I23&amp;J23&amp;K23&amp;L23&amp;M23&amp;N23&amp;O23&amp;P23</f>
        <v>01001001011100100100101001010100000011010011110100011011</v>
      </c>
      <c r="C25" s="20"/>
      <c r="D25" s="20"/>
      <c r="E25" s="20"/>
      <c r="F25" s="20"/>
      <c r="G25" s="20"/>
      <c r="H25" s="20"/>
      <c r="I25" s="20"/>
      <c r="J25" s="20"/>
      <c r="K25" s="20"/>
      <c r="L25" s="20"/>
      <c r="M25" s="20"/>
      <c r="N25" s="20"/>
      <c r="O25" s="20"/>
      <c r="P25" s="21"/>
      <c r="Q25" s="4"/>
      <c r="R25" s="4"/>
      <c r="S25" s="4"/>
      <c r="T25" s="4"/>
      <c r="U25" s="4"/>
      <c r="V25" s="4"/>
      <c r="W25" s="4"/>
      <c r="X25" s="4"/>
      <c r="Y25" s="4"/>
      <c r="Z25" s="4"/>
      <c r="AA25" s="4"/>
      <c r="AB25" s="4"/>
      <c r="AC25" s="4"/>
      <c r="AD25" s="4"/>
      <c r="AE25" s="4"/>
      <c r="AF25" s="3"/>
      <c r="AG25" s="3"/>
      <c r="AH25" s="3"/>
      <c r="AI25" s="3"/>
      <c r="AJ25" s="3"/>
      <c r="AK25" s="3"/>
      <c r="AL25" s="4"/>
      <c r="AM25" s="4"/>
      <c r="AN25" s="4"/>
      <c r="AO25" s="4"/>
      <c r="AP25" s="4"/>
      <c r="AQ25" s="4"/>
      <c r="AR25" s="4"/>
      <c r="AS25" s="4"/>
    </row>
    <row r="26" spans="1:45" s="2" customFormat="1" x14ac:dyDescent="0.25">
      <c r="A26" s="4"/>
      <c r="B26" s="34" t="s">
        <v>14</v>
      </c>
      <c r="C26" s="35"/>
      <c r="D26" s="35"/>
      <c r="E26" s="35"/>
      <c r="F26" s="35"/>
      <c r="G26" s="36"/>
      <c r="H26" s="42" t="s">
        <v>25</v>
      </c>
      <c r="I26" s="43"/>
      <c r="J26" s="44"/>
      <c r="K26" s="34" t="s">
        <v>26</v>
      </c>
      <c r="L26" s="35"/>
      <c r="M26" s="35"/>
      <c r="N26" s="35"/>
      <c r="O26" s="35"/>
      <c r="P26" s="36"/>
      <c r="Q26" s="4"/>
      <c r="R26" s="4"/>
      <c r="S26" s="4"/>
      <c r="T26" s="4"/>
      <c r="U26" s="4"/>
      <c r="V26" s="4"/>
      <c r="W26" s="4"/>
      <c r="X26" s="4"/>
      <c r="Y26" s="4"/>
      <c r="Z26" s="4"/>
      <c r="AA26" s="4"/>
      <c r="AB26" s="4"/>
      <c r="AC26" s="4"/>
      <c r="AD26" s="4"/>
      <c r="AE26" s="4"/>
      <c r="AF26" s="3"/>
      <c r="AG26" s="3"/>
      <c r="AH26" s="3"/>
      <c r="AI26" s="3"/>
      <c r="AJ26" s="3"/>
      <c r="AK26" s="3"/>
      <c r="AL26" s="4"/>
      <c r="AM26" s="4"/>
      <c r="AN26" s="4"/>
      <c r="AO26" s="4"/>
      <c r="AP26" s="4"/>
      <c r="AQ26" s="4"/>
      <c r="AR26" s="4"/>
      <c r="AS26" s="4"/>
    </row>
    <row r="27" spans="1:45" s="2" customFormat="1" x14ac:dyDescent="0.25">
      <c r="A27" s="4"/>
      <c r="B27" s="45">
        <v>500044173</v>
      </c>
      <c r="C27" s="46"/>
      <c r="D27" s="46"/>
      <c r="E27" s="46"/>
      <c r="F27" s="46"/>
      <c r="G27" s="47"/>
      <c r="H27" s="19">
        <f>LEN(B25)</f>
        <v>56</v>
      </c>
      <c r="I27" s="20"/>
      <c r="J27" s="21"/>
      <c r="K27" s="38" cm="1">
        <f t="array" ref="K27">binary_to_decimal(B25)</f>
        <v>2.0673336863178012E+16</v>
      </c>
      <c r="L27" s="38"/>
      <c r="M27" s="38"/>
      <c r="N27" s="38"/>
      <c r="O27" s="38"/>
      <c r="P27" s="39"/>
      <c r="Q27" s="4"/>
      <c r="R27" s="4"/>
      <c r="S27" s="4"/>
      <c r="T27" s="4"/>
      <c r="U27" s="4"/>
      <c r="V27" s="4"/>
      <c r="W27" s="4"/>
      <c r="X27" s="4"/>
      <c r="Y27" s="4"/>
      <c r="Z27" s="4"/>
      <c r="AA27" s="4"/>
      <c r="AB27" s="4"/>
      <c r="AC27" s="4"/>
      <c r="AD27" s="4"/>
      <c r="AE27" s="4"/>
      <c r="AF27" s="3"/>
      <c r="AG27" s="3"/>
      <c r="AH27" s="3"/>
      <c r="AI27" s="3"/>
      <c r="AJ27" s="3"/>
      <c r="AK27" s="3"/>
      <c r="AL27" s="4"/>
      <c r="AM27" s="4"/>
      <c r="AN27" s="4"/>
      <c r="AO27" s="4"/>
      <c r="AP27" s="4"/>
      <c r="AQ27" s="4"/>
      <c r="AR27" s="4"/>
      <c r="AS27" s="4"/>
    </row>
    <row r="28" spans="1:45" x14ac:dyDescent="0.25">
      <c r="A28" s="3"/>
      <c r="B28" s="48" t="s">
        <v>15</v>
      </c>
      <c r="C28" s="49"/>
      <c r="D28" s="49"/>
      <c r="E28" s="49"/>
      <c r="F28" s="49"/>
      <c r="G28" s="49"/>
      <c r="H28" s="49"/>
      <c r="I28" s="49"/>
      <c r="J28" s="49"/>
      <c r="K28" s="49"/>
      <c r="L28" s="49"/>
      <c r="M28" s="49"/>
      <c r="N28" s="49"/>
      <c r="O28" s="49"/>
      <c r="P28" s="50"/>
      <c r="Q28" s="48" t="s">
        <v>16</v>
      </c>
      <c r="R28" s="49"/>
      <c r="S28" s="49"/>
      <c r="T28" s="49"/>
      <c r="U28" s="49"/>
      <c r="V28" s="4"/>
      <c r="W28" s="4"/>
      <c r="X28" s="4"/>
      <c r="Y28" s="4"/>
      <c r="Z28" s="4"/>
      <c r="AA28" s="4"/>
      <c r="AB28" s="4"/>
      <c r="AC28" s="4"/>
      <c r="AD28" s="4"/>
      <c r="AE28" s="4"/>
      <c r="AF28" s="3"/>
      <c r="AG28" s="3"/>
      <c r="AH28" s="3"/>
      <c r="AI28" s="3"/>
      <c r="AJ28" s="3"/>
      <c r="AK28" s="3"/>
      <c r="AL28" s="3"/>
      <c r="AM28" s="3"/>
      <c r="AN28" s="3"/>
      <c r="AO28" s="3"/>
      <c r="AP28" s="3"/>
      <c r="AQ28" s="3"/>
      <c r="AR28" s="3"/>
      <c r="AS28" s="3"/>
    </row>
    <row r="29" spans="1:45" x14ac:dyDescent="0.25">
      <c r="A29" s="3"/>
      <c r="B29" s="11"/>
      <c r="C29" s="12"/>
      <c r="D29" s="12"/>
      <c r="E29" s="12"/>
      <c r="F29" s="12"/>
      <c r="G29" s="12"/>
      <c r="H29" s="12"/>
      <c r="I29" s="12"/>
      <c r="J29" s="12"/>
      <c r="K29" s="12"/>
      <c r="L29" s="12"/>
      <c r="M29" s="12"/>
      <c r="N29" s="12"/>
      <c r="O29" s="12"/>
      <c r="P29" s="13"/>
      <c r="Q29" s="11"/>
      <c r="R29" s="12"/>
      <c r="S29" s="12"/>
      <c r="T29" s="12"/>
      <c r="U29" s="12"/>
      <c r="V29" s="4"/>
      <c r="W29" s="4"/>
      <c r="X29" s="4"/>
      <c r="Y29" s="4"/>
      <c r="Z29" s="4"/>
      <c r="AA29" s="4"/>
      <c r="AB29" s="4"/>
      <c r="AC29" s="4"/>
      <c r="AD29" s="4"/>
      <c r="AE29" s="4"/>
      <c r="AF29" s="3"/>
      <c r="AG29" s="3"/>
      <c r="AH29" s="3"/>
      <c r="AI29" s="3"/>
      <c r="AJ29" s="3"/>
      <c r="AK29" s="3"/>
      <c r="AL29" s="3"/>
      <c r="AM29" s="3"/>
      <c r="AN29" s="3"/>
      <c r="AO29" s="3"/>
      <c r="AP29" s="3"/>
      <c r="AQ29" s="3"/>
      <c r="AR29" s="3"/>
      <c r="AS29" s="3"/>
    </row>
    <row r="30" spans="1:45" x14ac:dyDescent="0.25">
      <c r="A30" s="3"/>
      <c r="B30" s="11"/>
      <c r="C30" s="12"/>
      <c r="D30" s="12"/>
      <c r="E30" s="12"/>
      <c r="F30" s="12"/>
      <c r="G30" s="12"/>
      <c r="H30" s="12"/>
      <c r="I30" s="12"/>
      <c r="J30" s="12"/>
      <c r="K30" s="12"/>
      <c r="L30" s="12"/>
      <c r="M30" s="12"/>
      <c r="N30" s="12"/>
      <c r="O30" s="12"/>
      <c r="P30" s="13"/>
      <c r="Q30" s="11"/>
      <c r="R30" s="12"/>
      <c r="S30" s="12"/>
      <c r="T30" s="12"/>
      <c r="U30" s="12"/>
      <c r="V30" s="4"/>
      <c r="W30" s="4"/>
      <c r="X30" s="4"/>
      <c r="Y30" s="4"/>
      <c r="Z30" s="4"/>
      <c r="AA30" s="4"/>
      <c r="AB30" s="4"/>
      <c r="AC30" s="4"/>
      <c r="AD30" s="4"/>
      <c r="AE30" s="4"/>
      <c r="AF30" s="3"/>
      <c r="AG30" s="3"/>
      <c r="AH30" s="3"/>
      <c r="AI30" s="3"/>
      <c r="AJ30" s="3"/>
      <c r="AK30" s="3"/>
      <c r="AL30" s="3"/>
      <c r="AM30" s="3"/>
      <c r="AN30" s="3"/>
      <c r="AO30" s="3"/>
      <c r="AP30" s="3"/>
      <c r="AQ30" s="3"/>
      <c r="AR30" s="3"/>
      <c r="AS30" s="3"/>
    </row>
    <row r="31" spans="1:45" x14ac:dyDescent="0.25">
      <c r="A31" s="3"/>
      <c r="B31" s="11"/>
      <c r="C31" s="12"/>
      <c r="D31" s="12"/>
      <c r="E31" s="12"/>
      <c r="F31" s="12"/>
      <c r="G31" s="12"/>
      <c r="H31" s="12"/>
      <c r="I31" s="12"/>
      <c r="J31" s="12"/>
      <c r="K31" s="12"/>
      <c r="L31" s="12"/>
      <c r="M31" s="12"/>
      <c r="N31" s="12"/>
      <c r="O31" s="12"/>
      <c r="P31" s="13"/>
      <c r="Q31" s="11"/>
      <c r="R31" s="12"/>
      <c r="S31" s="12"/>
      <c r="T31" s="12"/>
      <c r="U31" s="12"/>
      <c r="V31" s="4"/>
      <c r="W31" s="4"/>
      <c r="X31" s="4"/>
      <c r="Y31" s="4"/>
      <c r="Z31" s="4"/>
      <c r="AA31" s="4"/>
      <c r="AB31" s="4"/>
      <c r="AC31" s="4"/>
      <c r="AD31" s="4"/>
      <c r="AE31" s="4"/>
      <c r="AF31" s="3"/>
      <c r="AG31" s="3"/>
      <c r="AH31" s="3"/>
      <c r="AI31" s="3"/>
      <c r="AJ31" s="3"/>
      <c r="AK31" s="3"/>
      <c r="AL31" s="3"/>
      <c r="AM31" s="3"/>
      <c r="AN31" s="3"/>
      <c r="AO31" s="3"/>
      <c r="AP31" s="3"/>
      <c r="AQ31" s="3"/>
      <c r="AR31" s="3"/>
      <c r="AS31" s="3"/>
    </row>
    <row r="32" spans="1:45" x14ac:dyDescent="0.25">
      <c r="A32" s="3"/>
      <c r="B32" s="11"/>
      <c r="C32" s="12"/>
      <c r="D32" s="12"/>
      <c r="E32" s="12"/>
      <c r="F32" s="12"/>
      <c r="G32" s="12"/>
      <c r="H32" s="12"/>
      <c r="I32" s="12"/>
      <c r="J32" s="12"/>
      <c r="K32" s="12"/>
      <c r="L32" s="12"/>
      <c r="M32" s="12"/>
      <c r="N32" s="12"/>
      <c r="O32" s="12"/>
      <c r="P32" s="13"/>
      <c r="Q32" s="11"/>
      <c r="R32" s="12"/>
      <c r="S32" s="12"/>
      <c r="T32" s="12"/>
      <c r="U32" s="12"/>
      <c r="V32" s="4"/>
      <c r="W32" s="4"/>
      <c r="X32" s="4"/>
      <c r="Y32" s="4"/>
      <c r="Z32" s="4"/>
      <c r="AA32" s="4"/>
      <c r="AB32" s="4"/>
      <c r="AC32" s="4"/>
      <c r="AD32" s="4"/>
      <c r="AE32" s="4"/>
      <c r="AF32" s="3"/>
      <c r="AG32" s="3"/>
      <c r="AH32" s="3"/>
      <c r="AI32" s="3"/>
      <c r="AJ32" s="3"/>
      <c r="AK32" s="3"/>
      <c r="AL32" s="3"/>
      <c r="AM32" s="3"/>
      <c r="AN32" s="3"/>
      <c r="AO32" s="3"/>
      <c r="AP32" s="3"/>
      <c r="AQ32" s="3"/>
      <c r="AR32" s="3"/>
      <c r="AS32" s="3"/>
    </row>
    <row r="33" spans="1:45" x14ac:dyDescent="0.25">
      <c r="A33" s="3"/>
      <c r="B33" s="11"/>
      <c r="C33" s="12"/>
      <c r="D33" s="12"/>
      <c r="E33" s="12"/>
      <c r="F33" s="12"/>
      <c r="G33" s="12"/>
      <c r="H33" s="12"/>
      <c r="I33" s="12"/>
      <c r="J33" s="12"/>
      <c r="K33" s="12"/>
      <c r="L33" s="12"/>
      <c r="M33" s="12"/>
      <c r="N33" s="12"/>
      <c r="O33" s="12"/>
      <c r="P33" s="13"/>
      <c r="Q33" s="11"/>
      <c r="R33" s="12"/>
      <c r="S33" s="12"/>
      <c r="T33" s="12"/>
      <c r="U33" s="12"/>
      <c r="V33" s="4"/>
      <c r="W33" s="4"/>
      <c r="X33" s="4"/>
      <c r="Y33" s="4"/>
      <c r="Z33" s="4"/>
      <c r="AA33" s="4"/>
      <c r="AB33" s="4"/>
      <c r="AC33" s="4"/>
      <c r="AD33" s="4"/>
      <c r="AE33" s="4"/>
      <c r="AF33" s="3"/>
      <c r="AG33" s="3"/>
      <c r="AH33" s="3"/>
      <c r="AI33" s="3"/>
      <c r="AJ33" s="3"/>
      <c r="AK33" s="3"/>
      <c r="AL33" s="3"/>
      <c r="AM33" s="3"/>
      <c r="AN33" s="3"/>
      <c r="AO33" s="3"/>
      <c r="AP33" s="3"/>
      <c r="AQ33" s="3"/>
      <c r="AR33" s="3"/>
      <c r="AS33" s="3"/>
    </row>
    <row r="34" spans="1:45" x14ac:dyDescent="0.25">
      <c r="A34" s="3"/>
      <c r="B34" s="11"/>
      <c r="C34" s="12"/>
      <c r="D34" s="12"/>
      <c r="E34" s="12"/>
      <c r="F34" s="12"/>
      <c r="G34" s="12"/>
      <c r="H34" s="12"/>
      <c r="I34" s="12"/>
      <c r="J34" s="12"/>
      <c r="K34" s="12"/>
      <c r="L34" s="12"/>
      <c r="M34" s="12"/>
      <c r="N34" s="12"/>
      <c r="O34" s="12"/>
      <c r="P34" s="13"/>
      <c r="Q34" s="11"/>
      <c r="R34" s="12"/>
      <c r="S34" s="12"/>
      <c r="T34" s="12"/>
      <c r="U34" s="12"/>
      <c r="V34" s="4"/>
      <c r="W34" s="4"/>
      <c r="X34" s="4"/>
      <c r="Y34" s="4"/>
      <c r="Z34" s="4"/>
      <c r="AA34" s="4"/>
      <c r="AB34" s="4"/>
      <c r="AC34" s="4"/>
      <c r="AD34" s="4"/>
      <c r="AE34" s="4"/>
      <c r="AF34" s="3"/>
      <c r="AG34" s="3"/>
      <c r="AH34" s="3"/>
      <c r="AI34" s="3"/>
      <c r="AJ34" s="3"/>
      <c r="AK34" s="3"/>
      <c r="AL34" s="3"/>
      <c r="AM34" s="3"/>
      <c r="AN34" s="3"/>
      <c r="AO34" s="3"/>
      <c r="AP34" s="3"/>
      <c r="AQ34" s="3"/>
      <c r="AR34" s="3"/>
      <c r="AS34" s="3"/>
    </row>
    <row r="35" spans="1:45" x14ac:dyDescent="0.25">
      <c r="A35" s="3"/>
      <c r="B35" s="11"/>
      <c r="C35" s="12"/>
      <c r="D35" s="12"/>
      <c r="E35" s="12"/>
      <c r="F35" s="12"/>
      <c r="G35" s="12"/>
      <c r="H35" s="12"/>
      <c r="I35" s="12"/>
      <c r="J35" s="12"/>
      <c r="K35" s="12"/>
      <c r="L35" s="12"/>
      <c r="M35" s="12"/>
      <c r="N35" s="12"/>
      <c r="O35" s="12"/>
      <c r="P35" s="13"/>
      <c r="Q35" s="11"/>
      <c r="R35" s="12"/>
      <c r="S35" s="12"/>
      <c r="T35" s="12"/>
      <c r="U35" s="12"/>
      <c r="V35" s="4"/>
      <c r="W35" s="4"/>
      <c r="X35" s="4"/>
      <c r="Y35" s="4"/>
      <c r="Z35" s="4"/>
      <c r="AA35" s="4"/>
      <c r="AB35" s="4"/>
      <c r="AC35" s="4"/>
      <c r="AD35" s="4"/>
      <c r="AE35" s="4"/>
      <c r="AF35" s="3"/>
      <c r="AG35" s="3"/>
      <c r="AH35" s="3"/>
      <c r="AI35" s="3"/>
      <c r="AJ35" s="3"/>
      <c r="AK35" s="3"/>
      <c r="AL35" s="3"/>
      <c r="AM35" s="3"/>
      <c r="AN35" s="3"/>
      <c r="AO35" s="3"/>
      <c r="AP35" s="3"/>
      <c r="AQ35" s="3"/>
      <c r="AR35" s="3"/>
      <c r="AS35" s="3"/>
    </row>
    <row r="36" spans="1:45" x14ac:dyDescent="0.25">
      <c r="A36" s="3"/>
      <c r="B36" s="11"/>
      <c r="C36" s="12"/>
      <c r="D36" s="12"/>
      <c r="E36" s="12"/>
      <c r="F36" s="12"/>
      <c r="G36" s="12"/>
      <c r="H36" s="12"/>
      <c r="I36" s="12"/>
      <c r="J36" s="12"/>
      <c r="K36" s="12"/>
      <c r="L36" s="12"/>
      <c r="M36" s="12"/>
      <c r="N36" s="12"/>
      <c r="O36" s="12"/>
      <c r="P36" s="13"/>
      <c r="Q36" s="11"/>
      <c r="R36" s="12"/>
      <c r="S36" s="12"/>
      <c r="T36" s="12"/>
      <c r="U36" s="12"/>
      <c r="V36" s="4"/>
      <c r="W36" s="4"/>
      <c r="X36" s="4"/>
      <c r="Y36" s="4"/>
      <c r="Z36" s="4"/>
      <c r="AA36" s="4"/>
      <c r="AB36" s="4"/>
      <c r="AC36" s="4"/>
      <c r="AD36" s="4"/>
      <c r="AE36" s="4"/>
      <c r="AF36" s="3"/>
      <c r="AG36" s="3"/>
      <c r="AH36" s="3"/>
      <c r="AI36" s="3"/>
      <c r="AJ36" s="3"/>
      <c r="AK36" s="3"/>
      <c r="AL36" s="3"/>
      <c r="AM36" s="3"/>
      <c r="AN36" s="3"/>
      <c r="AO36" s="3"/>
      <c r="AP36" s="3"/>
      <c r="AQ36" s="3"/>
      <c r="AR36" s="3"/>
      <c r="AS36" s="3"/>
    </row>
    <row r="37" spans="1:45" x14ac:dyDescent="0.25">
      <c r="A37" s="3"/>
      <c r="B37" s="11"/>
      <c r="C37" s="12"/>
      <c r="D37" s="12"/>
      <c r="E37" s="12"/>
      <c r="F37" s="12"/>
      <c r="G37" s="12"/>
      <c r="H37" s="12"/>
      <c r="I37" s="12"/>
      <c r="J37" s="12"/>
      <c r="K37" s="12"/>
      <c r="L37" s="12"/>
      <c r="M37" s="12"/>
      <c r="N37" s="12"/>
      <c r="O37" s="12"/>
      <c r="P37" s="13"/>
      <c r="Q37" s="11"/>
      <c r="R37" s="12"/>
      <c r="S37" s="12"/>
      <c r="T37" s="12"/>
      <c r="U37" s="12"/>
      <c r="V37" s="4"/>
      <c r="W37" s="4"/>
      <c r="X37" s="4"/>
      <c r="Y37" s="4"/>
      <c r="Z37" s="4"/>
      <c r="AA37" s="4"/>
      <c r="AB37" s="4"/>
      <c r="AC37" s="4"/>
      <c r="AD37" s="4"/>
      <c r="AE37" s="4"/>
      <c r="AF37" s="3"/>
      <c r="AG37" s="3"/>
      <c r="AH37" s="3"/>
      <c r="AI37" s="3"/>
      <c r="AJ37" s="3"/>
      <c r="AK37" s="3"/>
      <c r="AL37" s="3"/>
      <c r="AM37" s="3"/>
      <c r="AN37" s="3"/>
      <c r="AO37" s="3"/>
      <c r="AP37" s="3"/>
      <c r="AQ37" s="3"/>
      <c r="AR37" s="3"/>
      <c r="AS37" s="3"/>
    </row>
    <row r="38" spans="1:45" x14ac:dyDescent="0.25">
      <c r="A38" s="3"/>
      <c r="B38" s="11"/>
      <c r="C38" s="12"/>
      <c r="D38" s="12"/>
      <c r="E38" s="12"/>
      <c r="F38" s="12"/>
      <c r="G38" s="12"/>
      <c r="H38" s="12"/>
      <c r="I38" s="12"/>
      <c r="J38" s="12"/>
      <c r="K38" s="12"/>
      <c r="L38" s="12"/>
      <c r="M38" s="12"/>
      <c r="N38" s="12"/>
      <c r="O38" s="12"/>
      <c r="P38" s="13"/>
      <c r="Q38" s="11"/>
      <c r="R38" s="12"/>
      <c r="S38" s="12"/>
      <c r="T38" s="12"/>
      <c r="U38" s="12"/>
      <c r="V38" s="4"/>
      <c r="W38" s="4"/>
      <c r="X38" s="4"/>
      <c r="Y38" s="4"/>
      <c r="Z38" s="4"/>
      <c r="AA38" s="4"/>
      <c r="AB38" s="4"/>
      <c r="AC38" s="4"/>
      <c r="AD38" s="4"/>
      <c r="AE38" s="4"/>
      <c r="AF38" s="3"/>
      <c r="AG38" s="3"/>
      <c r="AH38" s="3"/>
      <c r="AI38" s="3"/>
      <c r="AJ38" s="3"/>
      <c r="AK38" s="3"/>
      <c r="AL38" s="3"/>
      <c r="AM38" s="3"/>
      <c r="AN38" s="3"/>
      <c r="AO38" s="3"/>
      <c r="AP38" s="3"/>
      <c r="AQ38" s="3"/>
      <c r="AR38" s="3"/>
      <c r="AS38" s="3"/>
    </row>
    <row r="39" spans="1:45" x14ac:dyDescent="0.25">
      <c r="A39" s="3"/>
      <c r="B39" s="11"/>
      <c r="C39" s="12"/>
      <c r="D39" s="12"/>
      <c r="E39" s="12"/>
      <c r="F39" s="12"/>
      <c r="G39" s="12"/>
      <c r="H39" s="12"/>
      <c r="I39" s="12"/>
      <c r="J39" s="12"/>
      <c r="K39" s="12"/>
      <c r="L39" s="12"/>
      <c r="M39" s="12"/>
      <c r="N39" s="12"/>
      <c r="O39" s="12"/>
      <c r="P39" s="13"/>
      <c r="Q39" s="11"/>
      <c r="R39" s="12"/>
      <c r="S39" s="12"/>
      <c r="T39" s="12"/>
      <c r="U39" s="12"/>
      <c r="V39" s="4"/>
      <c r="W39" s="4"/>
      <c r="X39" s="4"/>
      <c r="Y39" s="4"/>
      <c r="Z39" s="4"/>
      <c r="AA39" s="4"/>
      <c r="AB39" s="4"/>
      <c r="AC39" s="4"/>
      <c r="AD39" s="4"/>
      <c r="AE39" s="4"/>
      <c r="AF39" s="3"/>
      <c r="AG39" s="3"/>
      <c r="AH39" s="3"/>
      <c r="AI39" s="3"/>
      <c r="AJ39" s="3"/>
      <c r="AK39" s="3"/>
      <c r="AL39" s="3"/>
      <c r="AM39" s="3"/>
      <c r="AN39" s="3"/>
      <c r="AO39" s="3"/>
      <c r="AP39" s="3"/>
      <c r="AQ39" s="3"/>
      <c r="AR39" s="3"/>
      <c r="AS39" s="3"/>
    </row>
    <row r="40" spans="1:45" x14ac:dyDescent="0.25">
      <c r="A40" s="3"/>
      <c r="B40" s="11"/>
      <c r="C40" s="12"/>
      <c r="D40" s="12"/>
      <c r="E40" s="12"/>
      <c r="F40" s="12"/>
      <c r="G40" s="12"/>
      <c r="H40" s="12"/>
      <c r="I40" s="12"/>
      <c r="J40" s="12"/>
      <c r="K40" s="12"/>
      <c r="L40" s="12"/>
      <c r="M40" s="12"/>
      <c r="N40" s="12"/>
      <c r="O40" s="12"/>
      <c r="P40" s="13"/>
      <c r="Q40" s="11"/>
      <c r="R40" s="12"/>
      <c r="S40" s="12"/>
      <c r="T40" s="12"/>
      <c r="U40" s="12"/>
      <c r="V40" s="4"/>
      <c r="W40" s="4"/>
      <c r="X40" s="4"/>
      <c r="Y40" s="4"/>
      <c r="Z40" s="4"/>
      <c r="AA40" s="4"/>
      <c r="AB40" s="4"/>
      <c r="AC40" s="4"/>
      <c r="AD40" s="4"/>
      <c r="AE40" s="4"/>
      <c r="AF40" s="3"/>
      <c r="AG40" s="3"/>
      <c r="AH40" s="3"/>
      <c r="AI40" s="3"/>
      <c r="AJ40" s="3"/>
      <c r="AK40" s="3"/>
      <c r="AL40" s="3"/>
      <c r="AM40" s="3"/>
      <c r="AN40" s="3"/>
      <c r="AO40" s="3"/>
      <c r="AP40" s="3"/>
      <c r="AQ40" s="3"/>
      <c r="AR40" s="3"/>
      <c r="AS40" s="3"/>
    </row>
    <row r="41" spans="1:45" x14ac:dyDescent="0.25">
      <c r="A41" s="3"/>
      <c r="B41" s="11"/>
      <c r="C41" s="12"/>
      <c r="D41" s="12"/>
      <c r="E41" s="12"/>
      <c r="F41" s="12"/>
      <c r="G41" s="12"/>
      <c r="H41" s="12"/>
      <c r="I41" s="12"/>
      <c r="J41" s="12"/>
      <c r="K41" s="12"/>
      <c r="L41" s="12"/>
      <c r="M41" s="12"/>
      <c r="N41" s="12"/>
      <c r="O41" s="12"/>
      <c r="P41" s="13"/>
      <c r="Q41" s="11"/>
      <c r="R41" s="12"/>
      <c r="S41" s="12"/>
      <c r="T41" s="12"/>
      <c r="U41" s="12"/>
      <c r="V41" s="4"/>
      <c r="W41" s="4"/>
      <c r="X41" s="4"/>
      <c r="Y41" s="4"/>
      <c r="Z41" s="4"/>
      <c r="AA41" s="4"/>
      <c r="AB41" s="4"/>
      <c r="AC41" s="4"/>
      <c r="AD41" s="4"/>
      <c r="AE41" s="4"/>
      <c r="AF41" s="3"/>
      <c r="AG41" s="3"/>
      <c r="AH41" s="3"/>
      <c r="AI41" s="3"/>
      <c r="AJ41" s="3"/>
      <c r="AK41" s="3"/>
      <c r="AL41" s="3"/>
      <c r="AM41" s="3"/>
      <c r="AN41" s="3"/>
      <c r="AO41" s="3"/>
      <c r="AP41" s="3"/>
      <c r="AQ41" s="3"/>
      <c r="AR41" s="3"/>
      <c r="AS41" s="3"/>
    </row>
    <row r="42" spans="1:45" x14ac:dyDescent="0.25">
      <c r="A42" s="3"/>
      <c r="B42" s="11"/>
      <c r="C42" s="12"/>
      <c r="D42" s="12"/>
      <c r="E42" s="12"/>
      <c r="F42" s="12"/>
      <c r="G42" s="12"/>
      <c r="H42" s="12"/>
      <c r="I42" s="12"/>
      <c r="J42" s="12"/>
      <c r="K42" s="12"/>
      <c r="L42" s="12"/>
      <c r="M42" s="12"/>
      <c r="N42" s="12"/>
      <c r="O42" s="12"/>
      <c r="P42" s="13"/>
      <c r="Q42" s="11"/>
      <c r="R42" s="12"/>
      <c r="S42" s="12"/>
      <c r="T42" s="12"/>
      <c r="U42" s="12"/>
      <c r="V42" s="4"/>
      <c r="W42" s="4"/>
      <c r="X42" s="4"/>
      <c r="Y42" s="4"/>
      <c r="Z42" s="4"/>
      <c r="AA42" s="4"/>
      <c r="AB42" s="4"/>
      <c r="AC42" s="4"/>
      <c r="AD42" s="4"/>
      <c r="AE42" s="4"/>
      <c r="AF42" s="3"/>
      <c r="AG42" s="3"/>
      <c r="AH42" s="3"/>
      <c r="AI42" s="3"/>
      <c r="AJ42" s="3"/>
      <c r="AK42" s="3"/>
      <c r="AL42" s="3"/>
      <c r="AM42" s="3"/>
      <c r="AN42" s="3"/>
      <c r="AO42" s="3"/>
      <c r="AP42" s="3"/>
      <c r="AQ42" s="3"/>
      <c r="AR42" s="3"/>
      <c r="AS42" s="3"/>
    </row>
    <row r="43" spans="1:45" x14ac:dyDescent="0.25">
      <c r="A43" s="3"/>
      <c r="B43" s="11"/>
      <c r="C43" s="12"/>
      <c r="D43" s="12"/>
      <c r="E43" s="12"/>
      <c r="F43" s="12"/>
      <c r="G43" s="12"/>
      <c r="H43" s="12"/>
      <c r="I43" s="12"/>
      <c r="J43" s="12"/>
      <c r="K43" s="12"/>
      <c r="L43" s="12"/>
      <c r="M43" s="12"/>
      <c r="N43" s="12"/>
      <c r="O43" s="12"/>
      <c r="P43" s="13"/>
      <c r="Q43" s="11"/>
      <c r="R43" s="12"/>
      <c r="S43" s="12"/>
      <c r="T43" s="12"/>
      <c r="U43" s="12"/>
      <c r="V43" s="4"/>
      <c r="W43" s="3"/>
      <c r="X43" s="3"/>
      <c r="Y43" s="3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  <c r="AL43" s="3"/>
      <c r="AM43" s="3"/>
      <c r="AN43" s="3"/>
      <c r="AO43" s="3"/>
      <c r="AP43" s="3"/>
      <c r="AQ43" s="3"/>
      <c r="AR43" s="3"/>
      <c r="AS43" s="3"/>
    </row>
    <row r="44" spans="1:45" x14ac:dyDescent="0.25">
      <c r="A44" s="3"/>
      <c r="B44" s="11"/>
      <c r="C44" s="12"/>
      <c r="D44" s="12"/>
      <c r="E44" s="12"/>
      <c r="F44" s="12"/>
      <c r="G44" s="12"/>
      <c r="H44" s="12"/>
      <c r="I44" s="12"/>
      <c r="J44" s="12"/>
      <c r="K44" s="12"/>
      <c r="L44" s="12"/>
      <c r="M44" s="12"/>
      <c r="N44" s="12"/>
      <c r="O44" s="12"/>
      <c r="P44" s="13"/>
      <c r="Q44" s="11"/>
      <c r="R44" s="12"/>
      <c r="S44" s="12"/>
      <c r="T44" s="12"/>
      <c r="U44" s="12"/>
      <c r="V44" s="4"/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  <c r="AL44" s="3"/>
      <c r="AM44" s="3"/>
      <c r="AN44" s="3"/>
      <c r="AO44" s="3"/>
      <c r="AP44" s="3"/>
      <c r="AQ44" s="3"/>
      <c r="AR44" s="3"/>
      <c r="AS44" s="3"/>
    </row>
    <row r="45" spans="1:45" x14ac:dyDescent="0.25">
      <c r="A45" s="3"/>
      <c r="B45" s="11"/>
      <c r="C45" s="12"/>
      <c r="D45" s="12"/>
      <c r="E45" s="12"/>
      <c r="F45" s="12"/>
      <c r="G45" s="12"/>
      <c r="H45" s="12"/>
      <c r="I45" s="12"/>
      <c r="J45" s="12"/>
      <c r="K45" s="12"/>
      <c r="L45" s="12"/>
      <c r="M45" s="12"/>
      <c r="N45" s="12"/>
      <c r="O45" s="12"/>
      <c r="P45" s="13"/>
      <c r="Q45" s="11"/>
      <c r="R45" s="12"/>
      <c r="S45" s="12"/>
      <c r="T45" s="12"/>
      <c r="U45" s="12"/>
      <c r="V45" s="4"/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  <c r="AM45" s="3"/>
      <c r="AN45" s="3"/>
      <c r="AO45" s="3"/>
      <c r="AP45" s="3"/>
      <c r="AQ45" s="3"/>
      <c r="AR45" s="3"/>
      <c r="AS45" s="3"/>
    </row>
    <row r="46" spans="1:45" x14ac:dyDescent="0.25">
      <c r="A46" s="3"/>
      <c r="B46" s="11"/>
      <c r="C46" s="12"/>
      <c r="D46" s="12"/>
      <c r="E46" s="12"/>
      <c r="F46" s="12"/>
      <c r="G46" s="12"/>
      <c r="H46" s="12"/>
      <c r="I46" s="12"/>
      <c r="J46" s="12"/>
      <c r="K46" s="12"/>
      <c r="L46" s="12"/>
      <c r="M46" s="12"/>
      <c r="N46" s="12"/>
      <c r="O46" s="12"/>
      <c r="P46" s="13"/>
      <c r="Q46" s="11"/>
      <c r="R46" s="12"/>
      <c r="S46" s="12"/>
      <c r="T46" s="12"/>
      <c r="U46" s="12"/>
      <c r="V46" s="4"/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  <c r="AM46" s="3"/>
      <c r="AN46" s="3"/>
      <c r="AO46" s="3"/>
      <c r="AP46" s="3"/>
      <c r="AQ46" s="3"/>
      <c r="AR46" s="3"/>
      <c r="AS46" s="3"/>
    </row>
    <row r="47" spans="1:45" x14ac:dyDescent="0.25">
      <c r="A47" s="3"/>
      <c r="B47" s="11"/>
      <c r="C47" s="12"/>
      <c r="D47" s="12"/>
      <c r="E47" s="12"/>
      <c r="F47" s="12"/>
      <c r="G47" s="12"/>
      <c r="H47" s="12"/>
      <c r="I47" s="12"/>
      <c r="J47" s="12"/>
      <c r="K47" s="12"/>
      <c r="L47" s="12"/>
      <c r="M47" s="12"/>
      <c r="N47" s="12"/>
      <c r="O47" s="12"/>
      <c r="P47" s="13"/>
      <c r="Q47" s="11"/>
      <c r="R47" s="12"/>
      <c r="S47" s="12"/>
      <c r="T47" s="12"/>
      <c r="U47" s="12"/>
      <c r="V47" s="4"/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  <c r="AM47" s="3"/>
      <c r="AN47" s="3"/>
      <c r="AO47" s="3"/>
      <c r="AP47" s="3"/>
      <c r="AQ47" s="3"/>
      <c r="AR47" s="3"/>
      <c r="AS47" s="3"/>
    </row>
    <row r="48" spans="1:45" x14ac:dyDescent="0.25">
      <c r="A48" s="3"/>
      <c r="B48" s="11"/>
      <c r="C48" s="12"/>
      <c r="D48" s="12"/>
      <c r="E48" s="12"/>
      <c r="F48" s="12"/>
      <c r="G48" s="12"/>
      <c r="H48" s="12"/>
      <c r="I48" s="12"/>
      <c r="J48" s="12"/>
      <c r="K48" s="12"/>
      <c r="L48" s="12"/>
      <c r="M48" s="12"/>
      <c r="N48" s="12"/>
      <c r="O48" s="12"/>
      <c r="P48" s="13"/>
      <c r="Q48" s="11"/>
      <c r="R48" s="12"/>
      <c r="S48" s="12"/>
      <c r="T48" s="12"/>
      <c r="U48" s="12"/>
      <c r="V48" s="4"/>
      <c r="W48" s="3"/>
      <c r="X48" s="3"/>
      <c r="Y48" s="3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  <c r="AM48" s="3"/>
      <c r="AN48" s="3"/>
      <c r="AO48" s="3"/>
      <c r="AP48" s="3"/>
      <c r="AQ48" s="3"/>
      <c r="AR48" s="3"/>
      <c r="AS48" s="3"/>
    </row>
    <row r="49" spans="1:45" x14ac:dyDescent="0.25">
      <c r="A49" s="3"/>
      <c r="B49" s="11"/>
      <c r="C49" s="12"/>
      <c r="D49" s="12"/>
      <c r="E49" s="12"/>
      <c r="F49" s="12"/>
      <c r="G49" s="12"/>
      <c r="H49" s="12"/>
      <c r="I49" s="12"/>
      <c r="J49" s="12"/>
      <c r="K49" s="12"/>
      <c r="L49" s="12"/>
      <c r="M49" s="12"/>
      <c r="N49" s="12"/>
      <c r="O49" s="12"/>
      <c r="P49" s="13"/>
      <c r="Q49" s="11"/>
      <c r="R49" s="12"/>
      <c r="S49" s="12"/>
      <c r="T49" s="12"/>
      <c r="U49" s="12"/>
      <c r="V49" s="3"/>
      <c r="W49" s="3"/>
      <c r="X49" s="3"/>
      <c r="Y49" s="3"/>
      <c r="Z49" s="3"/>
      <c r="AA49" s="3"/>
      <c r="AB49" s="3"/>
      <c r="AC49" s="3"/>
      <c r="AD49" s="3"/>
      <c r="AE49" s="3"/>
      <c r="AF49" s="3"/>
      <c r="AG49" s="3"/>
      <c r="AH49" s="3"/>
      <c r="AI49" s="3"/>
      <c r="AJ49" s="3"/>
      <c r="AK49" s="3"/>
      <c r="AL49" s="3"/>
      <c r="AM49" s="3"/>
      <c r="AN49" s="3"/>
      <c r="AO49" s="3"/>
      <c r="AP49" s="3"/>
      <c r="AQ49" s="3"/>
      <c r="AR49" s="3"/>
      <c r="AS49" s="3"/>
    </row>
    <row r="50" spans="1:45" x14ac:dyDescent="0.25">
      <c r="A50" s="3"/>
      <c r="B50" s="11"/>
      <c r="C50" s="12"/>
      <c r="D50" s="12"/>
      <c r="E50" s="12"/>
      <c r="F50" s="12"/>
      <c r="G50" s="12"/>
      <c r="H50" s="12"/>
      <c r="I50" s="12"/>
      <c r="J50" s="12"/>
      <c r="K50" s="12"/>
      <c r="L50" s="12"/>
      <c r="M50" s="12"/>
      <c r="N50" s="12"/>
      <c r="O50" s="12"/>
      <c r="P50" s="13"/>
      <c r="Q50" s="11"/>
      <c r="R50" s="12"/>
      <c r="S50" s="12"/>
      <c r="T50" s="12"/>
      <c r="U50" s="12"/>
      <c r="V50" s="3"/>
      <c r="W50" s="3"/>
      <c r="X50" s="3"/>
      <c r="Y50" s="3"/>
      <c r="Z50" s="3"/>
      <c r="AA50" s="3"/>
      <c r="AB50" s="3"/>
      <c r="AC50" s="3"/>
      <c r="AD50" s="3"/>
      <c r="AE50" s="3"/>
      <c r="AF50" s="3"/>
      <c r="AG50" s="3"/>
      <c r="AH50" s="3"/>
      <c r="AI50" s="3"/>
      <c r="AJ50" s="3"/>
      <c r="AK50" s="3"/>
      <c r="AL50" s="3"/>
      <c r="AM50" s="3"/>
      <c r="AN50" s="3"/>
      <c r="AO50" s="3"/>
      <c r="AP50" s="3"/>
      <c r="AQ50" s="3"/>
      <c r="AR50" s="3"/>
      <c r="AS50" s="3"/>
    </row>
    <row r="51" spans="1:45" x14ac:dyDescent="0.25">
      <c r="A51" s="3"/>
      <c r="B51" s="11"/>
      <c r="C51" s="12"/>
      <c r="D51" s="12"/>
      <c r="E51" s="12"/>
      <c r="F51" s="12"/>
      <c r="G51" s="12"/>
      <c r="H51" s="12"/>
      <c r="I51" s="12"/>
      <c r="J51" s="12"/>
      <c r="K51" s="12"/>
      <c r="L51" s="12"/>
      <c r="M51" s="12"/>
      <c r="N51" s="12"/>
      <c r="O51" s="12"/>
      <c r="P51" s="13"/>
      <c r="Q51" s="11"/>
      <c r="R51" s="12"/>
      <c r="S51" s="12"/>
      <c r="T51" s="12"/>
      <c r="U51" s="12"/>
      <c r="V51" s="3"/>
      <c r="W51" s="3"/>
      <c r="X51" s="3"/>
      <c r="Y51" s="3"/>
      <c r="Z51" s="3"/>
      <c r="AA51" s="3"/>
      <c r="AB51" s="3"/>
      <c r="AC51" s="3"/>
      <c r="AD51" s="3"/>
      <c r="AE51" s="3"/>
      <c r="AF51" s="3"/>
      <c r="AG51" s="3"/>
      <c r="AH51" s="3"/>
      <c r="AI51" s="3"/>
      <c r="AJ51" s="3"/>
      <c r="AK51" s="3"/>
      <c r="AL51" s="3"/>
      <c r="AM51" s="3"/>
      <c r="AN51" s="3"/>
      <c r="AO51" s="3"/>
      <c r="AP51" s="3"/>
      <c r="AQ51" s="3"/>
      <c r="AR51" s="3"/>
      <c r="AS51" s="3"/>
    </row>
    <row r="52" spans="1:45" x14ac:dyDescent="0.25">
      <c r="A52" s="3"/>
      <c r="B52" s="11"/>
      <c r="C52" s="12"/>
      <c r="D52" s="12"/>
      <c r="E52" s="12"/>
      <c r="F52" s="12"/>
      <c r="G52" s="12"/>
      <c r="H52" s="12"/>
      <c r="I52" s="12"/>
      <c r="J52" s="12"/>
      <c r="K52" s="12"/>
      <c r="L52" s="12"/>
      <c r="M52" s="12"/>
      <c r="N52" s="12"/>
      <c r="O52" s="12"/>
      <c r="P52" s="13"/>
      <c r="Q52" s="11"/>
      <c r="R52" s="12"/>
      <c r="S52" s="12"/>
      <c r="T52" s="12"/>
      <c r="U52" s="12"/>
      <c r="V52" s="3"/>
      <c r="W52" s="3"/>
      <c r="X52" s="3"/>
      <c r="Y52" s="3"/>
      <c r="Z52" s="3"/>
      <c r="AA52" s="3"/>
      <c r="AB52" s="3"/>
      <c r="AC52" s="3"/>
      <c r="AD52" s="3"/>
      <c r="AE52" s="3"/>
      <c r="AF52" s="3"/>
      <c r="AG52" s="3"/>
      <c r="AH52" s="3"/>
      <c r="AI52" s="3"/>
      <c r="AJ52" s="3"/>
      <c r="AK52" s="3"/>
      <c r="AL52" s="3"/>
      <c r="AM52" s="3"/>
      <c r="AN52" s="3"/>
      <c r="AO52" s="3"/>
      <c r="AP52" s="3"/>
      <c r="AQ52" s="3"/>
      <c r="AR52" s="3"/>
      <c r="AS52" s="3"/>
    </row>
    <row r="53" spans="1:45" x14ac:dyDescent="0.25">
      <c r="A53" s="3"/>
      <c r="B53" s="11"/>
      <c r="C53" s="12"/>
      <c r="D53" s="12"/>
      <c r="E53" s="12"/>
      <c r="F53" s="12"/>
      <c r="G53" s="12"/>
      <c r="H53" s="12"/>
      <c r="I53" s="12"/>
      <c r="J53" s="12"/>
      <c r="K53" s="12"/>
      <c r="L53" s="12"/>
      <c r="M53" s="12"/>
      <c r="N53" s="12"/>
      <c r="O53" s="12"/>
      <c r="P53" s="13"/>
      <c r="Q53" s="11"/>
      <c r="R53" s="12"/>
      <c r="S53" s="12"/>
      <c r="T53" s="12"/>
      <c r="U53" s="12"/>
      <c r="V53" s="3"/>
      <c r="W53" s="3"/>
      <c r="X53" s="3"/>
      <c r="Y53" s="3"/>
      <c r="Z53" s="3"/>
      <c r="AA53" s="3"/>
      <c r="AB53" s="3"/>
      <c r="AC53" s="3"/>
      <c r="AD53" s="3"/>
      <c r="AE53" s="3"/>
      <c r="AF53" s="3"/>
      <c r="AG53" s="3"/>
      <c r="AH53" s="3"/>
      <c r="AI53" s="3"/>
      <c r="AJ53" s="3"/>
      <c r="AK53" s="3"/>
      <c r="AL53" s="3"/>
      <c r="AM53" s="3"/>
      <c r="AN53" s="3"/>
      <c r="AO53" s="3"/>
      <c r="AP53" s="3"/>
      <c r="AQ53" s="3"/>
      <c r="AR53" s="3"/>
      <c r="AS53" s="3"/>
    </row>
    <row r="54" spans="1:45" x14ac:dyDescent="0.25">
      <c r="A54" s="3"/>
      <c r="B54" s="11"/>
      <c r="C54" s="12"/>
      <c r="D54" s="12"/>
      <c r="E54" s="12"/>
      <c r="F54" s="12"/>
      <c r="G54" s="12"/>
      <c r="H54" s="12"/>
      <c r="I54" s="12"/>
      <c r="J54" s="12"/>
      <c r="K54" s="12"/>
      <c r="L54" s="12"/>
      <c r="M54" s="12"/>
      <c r="N54" s="12"/>
      <c r="O54" s="12"/>
      <c r="P54" s="13"/>
      <c r="Q54" s="11"/>
      <c r="R54" s="12"/>
      <c r="S54" s="12"/>
      <c r="T54" s="12"/>
      <c r="U54" s="12"/>
      <c r="V54" s="3"/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  <c r="AM54" s="3"/>
      <c r="AN54" s="3"/>
      <c r="AO54" s="3"/>
      <c r="AP54" s="3"/>
      <c r="AQ54" s="3"/>
      <c r="AR54" s="3"/>
      <c r="AS54" s="3"/>
    </row>
    <row r="55" spans="1:45" x14ac:dyDescent="0.25">
      <c r="A55" s="3"/>
      <c r="B55" s="11"/>
      <c r="C55" s="12"/>
      <c r="D55" s="12"/>
      <c r="E55" s="12"/>
      <c r="F55" s="12"/>
      <c r="G55" s="12"/>
      <c r="H55" s="12"/>
      <c r="I55" s="12"/>
      <c r="J55" s="12"/>
      <c r="K55" s="12"/>
      <c r="L55" s="12"/>
      <c r="M55" s="12"/>
      <c r="N55" s="12"/>
      <c r="O55" s="12"/>
      <c r="P55" s="13"/>
      <c r="Q55" s="11"/>
      <c r="R55" s="12"/>
      <c r="S55" s="12"/>
      <c r="T55" s="12"/>
      <c r="U55" s="12"/>
      <c r="V55" s="3"/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  <c r="AM55" s="3"/>
      <c r="AN55" s="3"/>
      <c r="AO55" s="3"/>
      <c r="AP55" s="3"/>
      <c r="AQ55" s="3"/>
      <c r="AR55" s="3"/>
      <c r="AS55" s="3"/>
    </row>
    <row r="56" spans="1:45" x14ac:dyDescent="0.25">
      <c r="A56" s="3"/>
      <c r="B56" s="11"/>
      <c r="C56" s="12"/>
      <c r="D56" s="12"/>
      <c r="E56" s="12"/>
      <c r="F56" s="12"/>
      <c r="G56" s="12"/>
      <c r="H56" s="12"/>
      <c r="I56" s="12"/>
      <c r="J56" s="12"/>
      <c r="K56" s="12"/>
      <c r="L56" s="12"/>
      <c r="M56" s="12"/>
      <c r="N56" s="12"/>
      <c r="O56" s="12"/>
      <c r="P56" s="13"/>
      <c r="Q56" s="11"/>
      <c r="R56" s="12"/>
      <c r="S56" s="12"/>
      <c r="T56" s="12"/>
      <c r="U56" s="12"/>
      <c r="V56" s="3"/>
      <c r="W56" s="3"/>
      <c r="X56" s="3"/>
      <c r="Y56" s="3"/>
      <c r="Z56" s="3"/>
      <c r="AA56" s="3"/>
      <c r="AB56" s="3"/>
      <c r="AC56" s="3"/>
      <c r="AD56" s="3"/>
      <c r="AE56" s="3"/>
      <c r="AF56" s="3"/>
      <c r="AG56" s="3"/>
      <c r="AH56" s="3"/>
      <c r="AI56" s="3"/>
      <c r="AJ56" s="3"/>
      <c r="AK56" s="3"/>
      <c r="AL56" s="3"/>
      <c r="AM56" s="3"/>
      <c r="AN56" s="3"/>
      <c r="AO56" s="3"/>
      <c r="AP56" s="3"/>
      <c r="AQ56" s="3"/>
      <c r="AR56" s="3"/>
      <c r="AS56" s="3"/>
    </row>
    <row r="57" spans="1:45" x14ac:dyDescent="0.25">
      <c r="A57" s="3"/>
      <c r="B57" s="11"/>
      <c r="C57" s="12"/>
      <c r="D57" s="12"/>
      <c r="E57" s="12"/>
      <c r="F57" s="12"/>
      <c r="G57" s="12"/>
      <c r="H57" s="12"/>
      <c r="I57" s="12"/>
      <c r="J57" s="12"/>
      <c r="K57" s="12"/>
      <c r="L57" s="12"/>
      <c r="M57" s="12"/>
      <c r="N57" s="12"/>
      <c r="O57" s="12"/>
      <c r="P57" s="13"/>
      <c r="Q57" s="11"/>
      <c r="R57" s="12"/>
      <c r="S57" s="12"/>
      <c r="T57" s="12"/>
      <c r="U57" s="12"/>
      <c r="V57" s="3"/>
      <c r="W57" s="3"/>
      <c r="X57" s="3"/>
      <c r="Y57" s="3"/>
      <c r="Z57" s="3"/>
      <c r="AA57" s="3"/>
      <c r="AB57" s="3"/>
      <c r="AC57" s="3"/>
      <c r="AD57" s="3"/>
      <c r="AE57" s="3"/>
      <c r="AF57" s="3"/>
      <c r="AG57" s="3"/>
      <c r="AH57" s="3"/>
      <c r="AI57" s="3"/>
      <c r="AJ57" s="3"/>
      <c r="AK57" s="3"/>
      <c r="AL57" s="3"/>
      <c r="AM57" s="3"/>
      <c r="AN57" s="3"/>
      <c r="AO57" s="3"/>
      <c r="AP57" s="3"/>
      <c r="AQ57" s="3"/>
      <c r="AR57" s="3"/>
      <c r="AS57" s="3"/>
    </row>
    <row r="58" spans="1:45" x14ac:dyDescent="0.25">
      <c r="A58" s="3"/>
      <c r="B58" s="11"/>
      <c r="C58" s="12"/>
      <c r="D58" s="12"/>
      <c r="E58" s="12"/>
      <c r="F58" s="12"/>
      <c r="G58" s="12"/>
      <c r="H58" s="12"/>
      <c r="I58" s="12"/>
      <c r="J58" s="12"/>
      <c r="K58" s="12"/>
      <c r="L58" s="12"/>
      <c r="M58" s="12"/>
      <c r="N58" s="12"/>
      <c r="O58" s="12"/>
      <c r="P58" s="13"/>
      <c r="Q58" s="11"/>
      <c r="R58" s="12"/>
      <c r="S58" s="12"/>
      <c r="T58" s="12"/>
      <c r="U58" s="12"/>
      <c r="V58" s="3"/>
      <c r="W58" s="3"/>
      <c r="X58" s="3"/>
      <c r="Y58" s="3"/>
      <c r="Z58" s="3"/>
      <c r="AA58" s="3"/>
      <c r="AB58" s="3"/>
      <c r="AC58" s="3"/>
      <c r="AD58" s="3"/>
      <c r="AE58" s="3"/>
      <c r="AF58" s="3"/>
      <c r="AG58" s="3"/>
      <c r="AH58" s="3"/>
      <c r="AI58" s="3"/>
      <c r="AJ58" s="3"/>
      <c r="AK58" s="3"/>
      <c r="AL58" s="3"/>
      <c r="AM58" s="3"/>
      <c r="AN58" s="3"/>
      <c r="AO58" s="3"/>
      <c r="AP58" s="3"/>
      <c r="AQ58" s="3"/>
      <c r="AR58" s="3"/>
      <c r="AS58" s="3"/>
    </row>
    <row r="59" spans="1:45" x14ac:dyDescent="0.25">
      <c r="A59" s="3"/>
      <c r="B59" s="11"/>
      <c r="C59" s="12"/>
      <c r="D59" s="12"/>
      <c r="E59" s="12"/>
      <c r="F59" s="12"/>
      <c r="G59" s="12"/>
      <c r="H59" s="12"/>
      <c r="I59" s="12"/>
      <c r="J59" s="12"/>
      <c r="K59" s="12"/>
      <c r="L59" s="12"/>
      <c r="M59" s="12"/>
      <c r="N59" s="12"/>
      <c r="O59" s="12"/>
      <c r="P59" s="13"/>
      <c r="Q59" s="11"/>
      <c r="R59" s="12"/>
      <c r="S59" s="12"/>
      <c r="T59" s="12"/>
      <c r="U59" s="12"/>
      <c r="V59" s="3"/>
      <c r="W59" s="3"/>
      <c r="X59" s="3"/>
      <c r="Y59" s="3"/>
      <c r="Z59" s="3"/>
      <c r="AA59" s="3"/>
      <c r="AB59" s="3"/>
      <c r="AC59" s="3"/>
      <c r="AD59" s="3"/>
      <c r="AE59" s="3"/>
      <c r="AF59" s="3"/>
      <c r="AG59" s="3"/>
      <c r="AH59" s="3"/>
      <c r="AI59" s="3"/>
      <c r="AJ59" s="3"/>
      <c r="AK59" s="3"/>
      <c r="AL59" s="3"/>
      <c r="AM59" s="3"/>
      <c r="AN59" s="3"/>
      <c r="AO59" s="3"/>
      <c r="AP59" s="3"/>
      <c r="AQ59" s="3"/>
      <c r="AR59" s="3"/>
      <c r="AS59" s="3"/>
    </row>
    <row r="60" spans="1:45" x14ac:dyDescent="0.25">
      <c r="A60" s="3"/>
      <c r="B60" s="11"/>
      <c r="C60" s="12"/>
      <c r="D60" s="12"/>
      <c r="E60" s="12"/>
      <c r="F60" s="12"/>
      <c r="G60" s="12"/>
      <c r="H60" s="12"/>
      <c r="I60" s="12"/>
      <c r="J60" s="12"/>
      <c r="K60" s="12"/>
      <c r="L60" s="12"/>
      <c r="M60" s="12"/>
      <c r="N60" s="12"/>
      <c r="O60" s="12"/>
      <c r="P60" s="13"/>
      <c r="Q60" s="11"/>
      <c r="R60" s="12"/>
      <c r="S60" s="12"/>
      <c r="T60" s="12"/>
      <c r="U60" s="12"/>
      <c r="V60" s="3"/>
      <c r="W60" s="3"/>
      <c r="X60" s="3"/>
      <c r="Y60" s="3"/>
      <c r="Z60" s="3"/>
      <c r="AA60" s="3"/>
      <c r="AB60" s="3"/>
      <c r="AC60" s="3"/>
      <c r="AD60" s="3"/>
      <c r="AE60" s="3"/>
      <c r="AF60" s="3"/>
      <c r="AG60" s="3"/>
      <c r="AH60" s="3"/>
      <c r="AI60" s="3"/>
      <c r="AJ60" s="3"/>
      <c r="AK60" s="3"/>
      <c r="AL60" s="3"/>
      <c r="AM60" s="3"/>
      <c r="AN60" s="3"/>
      <c r="AO60" s="3"/>
      <c r="AP60" s="3"/>
      <c r="AQ60" s="3"/>
      <c r="AR60" s="3"/>
      <c r="AS60" s="3"/>
    </row>
    <row r="61" spans="1:45" x14ac:dyDescent="0.25">
      <c r="A61" s="3"/>
      <c r="B61" s="11"/>
      <c r="C61" s="12"/>
      <c r="D61" s="12"/>
      <c r="E61" s="12"/>
      <c r="F61" s="12"/>
      <c r="G61" s="12"/>
      <c r="H61" s="12"/>
      <c r="I61" s="12"/>
      <c r="J61" s="12"/>
      <c r="K61" s="12"/>
      <c r="L61" s="12"/>
      <c r="M61" s="12"/>
      <c r="N61" s="12"/>
      <c r="O61" s="12"/>
      <c r="P61" s="13"/>
      <c r="Q61" s="11"/>
      <c r="R61" s="12"/>
      <c r="S61" s="12"/>
      <c r="T61" s="12"/>
      <c r="U61" s="12"/>
      <c r="V61" s="3"/>
      <c r="W61" s="3"/>
      <c r="X61" s="3"/>
      <c r="Y61" s="3"/>
      <c r="Z61" s="3"/>
      <c r="AA61" s="3"/>
      <c r="AB61" s="3"/>
      <c r="AC61" s="3"/>
      <c r="AD61" s="3"/>
      <c r="AE61" s="3"/>
      <c r="AF61" s="3"/>
      <c r="AG61" s="3"/>
      <c r="AH61" s="3"/>
      <c r="AI61" s="3"/>
      <c r="AJ61" s="3"/>
      <c r="AK61" s="3"/>
      <c r="AL61" s="3"/>
      <c r="AM61" s="3"/>
      <c r="AN61" s="3"/>
      <c r="AO61" s="3"/>
      <c r="AP61" s="3"/>
      <c r="AQ61" s="3"/>
      <c r="AR61" s="3"/>
      <c r="AS61" s="3"/>
    </row>
    <row r="62" spans="1:45" x14ac:dyDescent="0.25">
      <c r="A62" s="3"/>
      <c r="B62" s="11"/>
      <c r="C62" s="12"/>
      <c r="D62" s="12"/>
      <c r="E62" s="12"/>
      <c r="F62" s="12"/>
      <c r="G62" s="12"/>
      <c r="H62" s="12"/>
      <c r="I62" s="12"/>
      <c r="J62" s="12"/>
      <c r="K62" s="12"/>
      <c r="L62" s="12"/>
      <c r="M62" s="12"/>
      <c r="N62" s="12"/>
      <c r="O62" s="12"/>
      <c r="P62" s="13"/>
      <c r="Q62" s="11"/>
      <c r="R62" s="12"/>
      <c r="S62" s="12"/>
      <c r="T62" s="12"/>
      <c r="U62" s="12"/>
      <c r="V62" s="3"/>
      <c r="W62" s="3"/>
      <c r="X62" s="3"/>
      <c r="Y62" s="3"/>
      <c r="Z62" s="3"/>
      <c r="AA62" s="3"/>
      <c r="AB62" s="3"/>
      <c r="AC62" s="3"/>
      <c r="AD62" s="3"/>
      <c r="AE62" s="3"/>
      <c r="AF62" s="3"/>
      <c r="AG62" s="3"/>
      <c r="AH62" s="3"/>
      <c r="AI62" s="3"/>
      <c r="AJ62" s="3"/>
      <c r="AK62" s="3"/>
      <c r="AL62" s="3"/>
      <c r="AM62" s="3"/>
      <c r="AN62" s="3"/>
      <c r="AO62" s="3"/>
      <c r="AP62" s="3"/>
      <c r="AQ62" s="3"/>
      <c r="AR62" s="3"/>
      <c r="AS62" s="3"/>
    </row>
    <row r="63" spans="1:45" x14ac:dyDescent="0.25">
      <c r="A63" s="3"/>
      <c r="B63" s="11"/>
      <c r="C63" s="12"/>
      <c r="D63" s="12"/>
      <c r="E63" s="12"/>
      <c r="F63" s="12"/>
      <c r="G63" s="12"/>
      <c r="H63" s="12"/>
      <c r="I63" s="12"/>
      <c r="J63" s="12"/>
      <c r="K63" s="12"/>
      <c r="L63" s="12"/>
      <c r="M63" s="12"/>
      <c r="N63" s="12"/>
      <c r="O63" s="12"/>
      <c r="P63" s="13"/>
      <c r="Q63" s="11"/>
      <c r="R63" s="12"/>
      <c r="S63" s="12"/>
      <c r="T63" s="12"/>
      <c r="U63" s="12"/>
      <c r="V63" s="3"/>
      <c r="W63" s="3"/>
      <c r="X63" s="3"/>
      <c r="Y63" s="3"/>
      <c r="Z63" s="3"/>
      <c r="AA63" s="3"/>
      <c r="AB63" s="3"/>
      <c r="AC63" s="3"/>
      <c r="AD63" s="3"/>
      <c r="AE63" s="3"/>
      <c r="AF63" s="3"/>
      <c r="AG63" s="3"/>
      <c r="AH63" s="3"/>
      <c r="AI63" s="3"/>
      <c r="AJ63" s="3"/>
      <c r="AK63" s="3"/>
      <c r="AL63" s="3"/>
      <c r="AM63" s="3"/>
      <c r="AN63" s="3"/>
      <c r="AO63" s="3"/>
      <c r="AP63" s="3"/>
      <c r="AQ63" s="3"/>
      <c r="AR63" s="3"/>
      <c r="AS63" s="3"/>
    </row>
    <row r="64" spans="1:45" x14ac:dyDescent="0.25">
      <c r="A64" s="3"/>
      <c r="B64" s="11"/>
      <c r="C64" s="12"/>
      <c r="D64" s="12"/>
      <c r="E64" s="12"/>
      <c r="F64" s="12"/>
      <c r="G64" s="12"/>
      <c r="H64" s="12"/>
      <c r="I64" s="12"/>
      <c r="J64" s="12"/>
      <c r="K64" s="12"/>
      <c r="L64" s="12"/>
      <c r="M64" s="12"/>
      <c r="N64" s="12"/>
      <c r="O64" s="12"/>
      <c r="P64" s="13"/>
      <c r="Q64" s="11"/>
      <c r="R64" s="12"/>
      <c r="S64" s="12"/>
      <c r="T64" s="12"/>
      <c r="U64" s="12"/>
      <c r="V64" s="3"/>
      <c r="W64" s="3"/>
      <c r="X64" s="3"/>
      <c r="Y64" s="3"/>
      <c r="Z64" s="3"/>
      <c r="AA64" s="3"/>
      <c r="AB64" s="3"/>
      <c r="AC64" s="3"/>
      <c r="AD64" s="3"/>
      <c r="AE64" s="3"/>
      <c r="AF64" s="3"/>
      <c r="AG64" s="3"/>
      <c r="AH64" s="3"/>
      <c r="AI64" s="3"/>
      <c r="AJ64" s="3"/>
      <c r="AK64" s="3"/>
      <c r="AL64" s="3"/>
      <c r="AM64" s="3"/>
      <c r="AN64" s="3"/>
      <c r="AO64" s="3"/>
      <c r="AP64" s="3"/>
      <c r="AQ64" s="3"/>
      <c r="AR64" s="3"/>
      <c r="AS64" s="3"/>
    </row>
    <row r="65" spans="1:45" x14ac:dyDescent="0.25">
      <c r="A65" s="3"/>
      <c r="B65" s="11"/>
      <c r="C65" s="12"/>
      <c r="D65" s="12"/>
      <c r="E65" s="12"/>
      <c r="F65" s="12"/>
      <c r="G65" s="12"/>
      <c r="H65" s="12"/>
      <c r="I65" s="12"/>
      <c r="J65" s="12"/>
      <c r="K65" s="12"/>
      <c r="L65" s="12"/>
      <c r="M65" s="12"/>
      <c r="N65" s="12"/>
      <c r="O65" s="12"/>
      <c r="P65" s="13"/>
      <c r="Q65" s="11"/>
      <c r="R65" s="12"/>
      <c r="S65" s="12"/>
      <c r="T65" s="12"/>
      <c r="U65" s="12"/>
      <c r="V65" s="3"/>
      <c r="W65" s="3"/>
      <c r="X65" s="3"/>
      <c r="Y65" s="3"/>
      <c r="Z65" s="3"/>
      <c r="AA65" s="3"/>
      <c r="AB65" s="3"/>
      <c r="AC65" s="3"/>
      <c r="AD65" s="3"/>
      <c r="AE65" s="3"/>
      <c r="AF65" s="3"/>
      <c r="AG65" s="3"/>
      <c r="AH65" s="3"/>
      <c r="AI65" s="3"/>
      <c r="AJ65" s="3"/>
      <c r="AK65" s="3"/>
      <c r="AL65" s="3"/>
      <c r="AM65" s="3"/>
      <c r="AN65" s="3"/>
      <c r="AO65" s="3"/>
      <c r="AP65" s="3"/>
      <c r="AQ65" s="3"/>
      <c r="AR65" s="3"/>
      <c r="AS65" s="3"/>
    </row>
    <row r="66" spans="1:45" x14ac:dyDescent="0.25">
      <c r="A66" s="3"/>
      <c r="B66" s="11"/>
      <c r="C66" s="12"/>
      <c r="D66" s="12"/>
      <c r="E66" s="12"/>
      <c r="F66" s="12"/>
      <c r="G66" s="12"/>
      <c r="H66" s="12"/>
      <c r="I66" s="12"/>
      <c r="J66" s="12"/>
      <c r="K66" s="12"/>
      <c r="L66" s="12"/>
      <c r="M66" s="12"/>
      <c r="N66" s="12"/>
      <c r="O66" s="12"/>
      <c r="P66" s="13"/>
      <c r="Q66" s="11"/>
      <c r="R66" s="12"/>
      <c r="S66" s="12"/>
      <c r="T66" s="12"/>
      <c r="U66" s="12"/>
      <c r="V66" s="3"/>
      <c r="W66" s="3"/>
      <c r="X66" s="3"/>
      <c r="Y66" s="3"/>
      <c r="Z66" s="3"/>
      <c r="AA66" s="3"/>
      <c r="AB66" s="3"/>
      <c r="AC66" s="3"/>
      <c r="AD66" s="3"/>
      <c r="AE66" s="3"/>
      <c r="AF66" s="3"/>
      <c r="AG66" s="3"/>
      <c r="AH66" s="3"/>
      <c r="AI66" s="3"/>
      <c r="AJ66" s="3"/>
      <c r="AK66" s="3"/>
      <c r="AL66" s="3"/>
      <c r="AM66" s="3"/>
      <c r="AN66" s="3"/>
      <c r="AO66" s="3"/>
      <c r="AP66" s="3"/>
      <c r="AQ66" s="3"/>
      <c r="AR66" s="3"/>
      <c r="AS66" s="3"/>
    </row>
    <row r="67" spans="1:45" x14ac:dyDescent="0.25">
      <c r="A67" s="3"/>
      <c r="B67" s="11"/>
      <c r="C67" s="12"/>
      <c r="D67" s="12"/>
      <c r="E67" s="12"/>
      <c r="F67" s="12"/>
      <c r="G67" s="12"/>
      <c r="H67" s="12"/>
      <c r="I67" s="12"/>
      <c r="J67" s="12"/>
      <c r="K67" s="12"/>
      <c r="L67" s="12"/>
      <c r="M67" s="12"/>
      <c r="N67" s="12"/>
      <c r="O67" s="12"/>
      <c r="P67" s="13"/>
      <c r="Q67" s="11"/>
      <c r="R67" s="12"/>
      <c r="S67" s="12"/>
      <c r="T67" s="12"/>
      <c r="U67" s="12"/>
      <c r="V67" s="3"/>
      <c r="W67" s="3"/>
      <c r="X67" s="3"/>
      <c r="Y67" s="3"/>
      <c r="Z67" s="3"/>
      <c r="AA67" s="3"/>
      <c r="AB67" s="3"/>
      <c r="AC67" s="3"/>
      <c r="AD67" s="3"/>
      <c r="AE67" s="3"/>
      <c r="AF67" s="3"/>
      <c r="AG67" s="3"/>
      <c r="AH67" s="3"/>
      <c r="AI67" s="3"/>
      <c r="AJ67" s="3"/>
      <c r="AK67" s="3"/>
      <c r="AL67" s="3"/>
      <c r="AM67" s="3"/>
      <c r="AN67" s="3"/>
      <c r="AO67" s="3"/>
      <c r="AP67" s="3"/>
      <c r="AQ67" s="3"/>
      <c r="AR67" s="3"/>
      <c r="AS67" s="3"/>
    </row>
    <row r="68" spans="1:45" x14ac:dyDescent="0.25">
      <c r="A68" s="3"/>
      <c r="B68" s="11"/>
      <c r="C68" s="12"/>
      <c r="D68" s="12"/>
      <c r="E68" s="12"/>
      <c r="F68" s="12"/>
      <c r="G68" s="12"/>
      <c r="H68" s="12"/>
      <c r="I68" s="12"/>
      <c r="J68" s="12"/>
      <c r="K68" s="12"/>
      <c r="L68" s="12"/>
      <c r="M68" s="12"/>
      <c r="N68" s="12"/>
      <c r="O68" s="12"/>
      <c r="P68" s="13"/>
      <c r="Q68" s="11"/>
      <c r="R68" s="12"/>
      <c r="S68" s="12"/>
      <c r="T68" s="12"/>
      <c r="U68" s="12"/>
      <c r="V68" s="3"/>
      <c r="W68" s="3"/>
      <c r="X68" s="3"/>
      <c r="Y68" s="3"/>
      <c r="Z68" s="3"/>
      <c r="AA68" s="3"/>
      <c r="AB68" s="3"/>
      <c r="AC68" s="3"/>
      <c r="AD68" s="3"/>
      <c r="AE68" s="3"/>
      <c r="AF68" s="3"/>
      <c r="AG68" s="3"/>
      <c r="AH68" s="3"/>
      <c r="AI68" s="3"/>
      <c r="AJ68" s="3"/>
      <c r="AK68" s="3"/>
      <c r="AL68" s="3"/>
      <c r="AM68" s="3"/>
      <c r="AN68" s="3"/>
      <c r="AO68" s="3"/>
      <c r="AP68" s="3"/>
      <c r="AQ68" s="3"/>
      <c r="AR68" s="3"/>
      <c r="AS68" s="3"/>
    </row>
    <row r="69" spans="1:45" x14ac:dyDescent="0.25">
      <c r="A69" s="3"/>
      <c r="B69" s="11"/>
      <c r="C69" s="12"/>
      <c r="D69" s="12"/>
      <c r="E69" s="12"/>
      <c r="F69" s="12"/>
      <c r="G69" s="12"/>
      <c r="H69" s="12"/>
      <c r="I69" s="12"/>
      <c r="J69" s="12"/>
      <c r="K69" s="12"/>
      <c r="L69" s="12"/>
      <c r="M69" s="12"/>
      <c r="N69" s="12"/>
      <c r="O69" s="12"/>
      <c r="P69" s="13"/>
      <c r="Q69" s="11"/>
      <c r="R69" s="12"/>
      <c r="S69" s="12"/>
      <c r="T69" s="12"/>
      <c r="U69" s="12"/>
      <c r="V69" s="3"/>
      <c r="W69" s="3"/>
      <c r="X69" s="3"/>
      <c r="Y69" s="3"/>
      <c r="Z69" s="3"/>
      <c r="AA69" s="3"/>
      <c r="AB69" s="3"/>
      <c r="AC69" s="3"/>
      <c r="AD69" s="3"/>
      <c r="AE69" s="3"/>
      <c r="AF69" s="3"/>
      <c r="AG69" s="3"/>
      <c r="AH69" s="3"/>
      <c r="AI69" s="3"/>
      <c r="AJ69" s="3"/>
      <c r="AK69" s="3"/>
      <c r="AL69" s="3"/>
      <c r="AM69" s="3"/>
      <c r="AN69" s="3"/>
      <c r="AO69" s="3"/>
      <c r="AP69" s="3"/>
      <c r="AQ69" s="3"/>
      <c r="AR69" s="3"/>
      <c r="AS69" s="3"/>
    </row>
    <row r="70" spans="1:45" x14ac:dyDescent="0.25">
      <c r="A70" s="3"/>
      <c r="B70" s="11"/>
      <c r="C70" s="12"/>
      <c r="D70" s="12"/>
      <c r="E70" s="12"/>
      <c r="F70" s="12"/>
      <c r="G70" s="12"/>
      <c r="H70" s="12"/>
      <c r="I70" s="12"/>
      <c r="J70" s="12"/>
      <c r="K70" s="12"/>
      <c r="L70" s="12"/>
      <c r="M70" s="12"/>
      <c r="N70" s="12"/>
      <c r="O70" s="12"/>
      <c r="P70" s="13"/>
      <c r="Q70" s="11"/>
      <c r="R70" s="12"/>
      <c r="S70" s="12"/>
      <c r="T70" s="12"/>
      <c r="U70" s="12"/>
      <c r="V70" s="3"/>
      <c r="W70" s="3"/>
      <c r="X70" s="3"/>
      <c r="Y70" s="3"/>
      <c r="Z70" s="3"/>
      <c r="AA70" s="3"/>
      <c r="AB70" s="3"/>
      <c r="AC70" s="3"/>
      <c r="AD70" s="3"/>
      <c r="AE70" s="3"/>
      <c r="AF70" s="3"/>
      <c r="AG70" s="3"/>
      <c r="AH70" s="3"/>
      <c r="AI70" s="3"/>
      <c r="AJ70" s="3"/>
      <c r="AK70" s="3"/>
      <c r="AL70" s="3"/>
      <c r="AM70" s="3"/>
      <c r="AN70" s="3"/>
      <c r="AO70" s="3"/>
      <c r="AP70" s="3"/>
      <c r="AQ70" s="3"/>
      <c r="AR70" s="3"/>
      <c r="AS70" s="3"/>
    </row>
    <row r="71" spans="1:45" x14ac:dyDescent="0.25">
      <c r="A71" s="3"/>
      <c r="B71" s="11"/>
      <c r="C71" s="12"/>
      <c r="D71" s="12"/>
      <c r="E71" s="12"/>
      <c r="F71" s="12"/>
      <c r="G71" s="12"/>
      <c r="H71" s="12"/>
      <c r="I71" s="12"/>
      <c r="J71" s="12"/>
      <c r="K71" s="12"/>
      <c r="L71" s="12"/>
      <c r="M71" s="12"/>
      <c r="N71" s="12"/>
      <c r="O71" s="12"/>
      <c r="P71" s="13"/>
      <c r="Q71" s="11"/>
      <c r="R71" s="12"/>
      <c r="S71" s="12"/>
      <c r="T71" s="12"/>
      <c r="U71" s="12"/>
      <c r="V71" s="3"/>
      <c r="W71" s="3"/>
      <c r="X71" s="3"/>
      <c r="Y71" s="3"/>
      <c r="Z71" s="3"/>
      <c r="AA71" s="3"/>
      <c r="AB71" s="3"/>
      <c r="AC71" s="3"/>
      <c r="AD71" s="3"/>
      <c r="AE71" s="3"/>
      <c r="AF71" s="3"/>
      <c r="AG71" s="3"/>
      <c r="AH71" s="3"/>
      <c r="AI71" s="3"/>
      <c r="AJ71" s="3"/>
      <c r="AK71" s="3"/>
      <c r="AL71" s="3"/>
      <c r="AM71" s="3"/>
      <c r="AN71" s="3"/>
      <c r="AO71" s="3"/>
      <c r="AP71" s="3"/>
      <c r="AQ71" s="3"/>
      <c r="AR71" s="3"/>
      <c r="AS71" s="3"/>
    </row>
    <row r="72" spans="1:45" x14ac:dyDescent="0.25">
      <c r="A72" s="3"/>
      <c r="B72" s="11"/>
      <c r="C72" s="12"/>
      <c r="D72" s="12"/>
      <c r="E72" s="12"/>
      <c r="F72" s="12"/>
      <c r="G72" s="12"/>
      <c r="H72" s="12"/>
      <c r="I72" s="12"/>
      <c r="J72" s="12"/>
      <c r="K72" s="12"/>
      <c r="L72" s="12"/>
      <c r="M72" s="12"/>
      <c r="N72" s="12"/>
      <c r="O72" s="12"/>
      <c r="P72" s="13"/>
      <c r="Q72" s="11"/>
      <c r="R72" s="12"/>
      <c r="S72" s="12"/>
      <c r="T72" s="12"/>
      <c r="U72" s="12"/>
      <c r="V72" s="3"/>
      <c r="W72" s="3"/>
      <c r="X72" s="3"/>
      <c r="Y72" s="3"/>
      <c r="Z72" s="3"/>
      <c r="AA72" s="3"/>
      <c r="AB72" s="3"/>
      <c r="AC72" s="3"/>
      <c r="AD72" s="3"/>
      <c r="AE72" s="3"/>
      <c r="AF72" s="3"/>
      <c r="AG72" s="3"/>
      <c r="AH72" s="3"/>
      <c r="AI72" s="3"/>
      <c r="AJ72" s="3"/>
      <c r="AK72" s="3"/>
      <c r="AL72" s="3"/>
      <c r="AM72" s="3"/>
      <c r="AN72" s="3"/>
      <c r="AO72" s="3"/>
      <c r="AP72" s="3"/>
      <c r="AQ72" s="3"/>
      <c r="AR72" s="3"/>
      <c r="AS72" s="3"/>
    </row>
    <row r="73" spans="1:45" x14ac:dyDescent="0.25">
      <c r="A73" s="3"/>
      <c r="B73" s="11"/>
      <c r="C73" s="12"/>
      <c r="D73" s="12"/>
      <c r="E73" s="12"/>
      <c r="F73" s="12"/>
      <c r="G73" s="12"/>
      <c r="H73" s="12"/>
      <c r="I73" s="12"/>
      <c r="J73" s="12"/>
      <c r="K73" s="12"/>
      <c r="L73" s="12"/>
      <c r="M73" s="12"/>
      <c r="N73" s="12"/>
      <c r="O73" s="12"/>
      <c r="P73" s="13"/>
      <c r="Q73" s="11"/>
      <c r="R73" s="12"/>
      <c r="S73" s="12"/>
      <c r="T73" s="12"/>
      <c r="U73" s="12"/>
      <c r="V73" s="3"/>
      <c r="W73" s="3"/>
      <c r="X73" s="3"/>
      <c r="Y73" s="3"/>
      <c r="Z73" s="3"/>
      <c r="AA73" s="3"/>
      <c r="AB73" s="3"/>
      <c r="AC73" s="3"/>
      <c r="AD73" s="3"/>
      <c r="AE73" s="3"/>
      <c r="AF73" s="3"/>
      <c r="AG73" s="3"/>
      <c r="AH73" s="3"/>
      <c r="AI73" s="3"/>
      <c r="AJ73" s="3"/>
      <c r="AK73" s="3"/>
      <c r="AL73" s="3"/>
      <c r="AM73" s="3"/>
      <c r="AN73" s="3"/>
      <c r="AO73" s="3"/>
      <c r="AP73" s="3"/>
      <c r="AQ73" s="3"/>
      <c r="AR73" s="3"/>
      <c r="AS73" s="3"/>
    </row>
    <row r="74" spans="1:45" x14ac:dyDescent="0.25">
      <c r="A74" s="3"/>
      <c r="B74" s="11"/>
      <c r="C74" s="12"/>
      <c r="D74" s="12"/>
      <c r="E74" s="12"/>
      <c r="F74" s="12"/>
      <c r="G74" s="12"/>
      <c r="H74" s="12"/>
      <c r="I74" s="12"/>
      <c r="J74" s="12"/>
      <c r="K74" s="12"/>
      <c r="L74" s="12"/>
      <c r="M74" s="12"/>
      <c r="N74" s="12"/>
      <c r="O74" s="12"/>
      <c r="P74" s="13"/>
      <c r="Q74" s="11"/>
      <c r="R74" s="12"/>
      <c r="S74" s="12"/>
      <c r="T74" s="12"/>
      <c r="U74" s="12"/>
      <c r="V74" s="3"/>
      <c r="W74" s="3"/>
      <c r="X74" s="3"/>
      <c r="Y74" s="3"/>
      <c r="Z74" s="3"/>
      <c r="AA74" s="3"/>
      <c r="AB74" s="3"/>
      <c r="AC74" s="3"/>
      <c r="AD74" s="3"/>
      <c r="AE74" s="3"/>
      <c r="AF74" s="3"/>
      <c r="AG74" s="3"/>
      <c r="AH74" s="3"/>
      <c r="AI74" s="3"/>
      <c r="AJ74" s="3"/>
      <c r="AK74" s="3"/>
      <c r="AL74" s="3"/>
      <c r="AM74" s="3"/>
      <c r="AN74" s="3"/>
      <c r="AO74" s="3"/>
      <c r="AP74" s="3"/>
      <c r="AQ74" s="3"/>
      <c r="AR74" s="3"/>
      <c r="AS74" s="3"/>
    </row>
    <row r="75" spans="1:45" x14ac:dyDescent="0.25">
      <c r="A75" s="3"/>
      <c r="B75" s="3"/>
      <c r="C75" s="3"/>
      <c r="D75" s="3"/>
      <c r="E75" s="3"/>
      <c r="F75" s="3"/>
      <c r="G75" s="3"/>
      <c r="H75" s="3"/>
      <c r="I75" s="3"/>
      <c r="J75" s="3"/>
      <c r="K75" s="3"/>
      <c r="L75" s="3"/>
      <c r="M75" s="3"/>
      <c r="N75" s="3"/>
      <c r="O75" s="3"/>
      <c r="P75" s="3"/>
      <c r="Q75" s="3" t="s">
        <v>27</v>
      </c>
      <c r="R75" s="3"/>
      <c r="S75" s="3"/>
      <c r="T75" s="3"/>
      <c r="U75" s="3"/>
      <c r="V75" s="3"/>
      <c r="W75" s="3"/>
      <c r="X75" s="3"/>
      <c r="Y75" s="3"/>
      <c r="Z75" s="3"/>
      <c r="AA75" s="3"/>
      <c r="AB75" s="3"/>
      <c r="AC75" s="3"/>
      <c r="AD75" s="3"/>
      <c r="AE75" s="3"/>
      <c r="AF75" s="3"/>
      <c r="AG75" s="3"/>
      <c r="AH75" s="3"/>
      <c r="AI75" s="3"/>
      <c r="AJ75" s="3"/>
      <c r="AK75" s="3"/>
      <c r="AL75" s="3"/>
      <c r="AM75" s="3"/>
      <c r="AN75" s="3"/>
      <c r="AO75" s="3"/>
      <c r="AP75" s="3"/>
      <c r="AQ75" s="3"/>
      <c r="AR75" s="3"/>
      <c r="AS75" s="3"/>
    </row>
    <row r="76" spans="1:45" x14ac:dyDescent="0.25">
      <c r="A76" s="3"/>
      <c r="B76" s="3"/>
      <c r="C76" s="3"/>
      <c r="D76" s="3"/>
      <c r="E76" s="3"/>
      <c r="F76" s="3"/>
      <c r="G76" s="3"/>
      <c r="H76" s="3"/>
      <c r="I76" s="3"/>
      <c r="J76" s="3"/>
      <c r="K76" s="3"/>
      <c r="L76" s="3"/>
      <c r="M76" s="3"/>
      <c r="N76" s="3"/>
      <c r="O76" s="3"/>
      <c r="P76" s="3"/>
      <c r="Q76" s="3" t="s">
        <v>28</v>
      </c>
      <c r="R76" s="3"/>
      <c r="S76" s="3"/>
      <c r="T76" s="3"/>
      <c r="U76" s="3"/>
      <c r="V76" s="3"/>
      <c r="W76" s="3"/>
      <c r="X76" s="3"/>
      <c r="Y76" s="3"/>
      <c r="Z76" s="3"/>
      <c r="AA76" s="3"/>
      <c r="AB76" s="3"/>
      <c r="AC76" s="3"/>
      <c r="AD76" s="3"/>
      <c r="AE76" s="3"/>
      <c r="AF76" s="3"/>
      <c r="AG76" s="3"/>
      <c r="AH76" s="3"/>
      <c r="AI76" s="3"/>
      <c r="AJ76" s="3"/>
      <c r="AK76" s="3"/>
      <c r="AL76" s="3"/>
      <c r="AM76" s="3"/>
      <c r="AN76" s="3"/>
      <c r="AO76" s="3"/>
      <c r="AP76" s="3"/>
      <c r="AQ76" s="3"/>
      <c r="AR76" s="3"/>
      <c r="AS76" s="3"/>
    </row>
    <row r="77" spans="1:45" x14ac:dyDescent="0.25">
      <c r="A77" s="3"/>
      <c r="B77" s="3"/>
      <c r="C77" s="3"/>
      <c r="D77" s="3"/>
      <c r="E77" s="3"/>
      <c r="F77" s="3"/>
      <c r="G77" s="3"/>
      <c r="H77" s="3"/>
      <c r="I77" s="3"/>
      <c r="J77" s="3"/>
      <c r="K77" s="3"/>
      <c r="L77" s="3"/>
      <c r="M77" s="3"/>
      <c r="N77" s="3"/>
      <c r="O77" s="3"/>
      <c r="P77" s="3"/>
      <c r="Q77" s="3" t="s">
        <v>29</v>
      </c>
      <c r="R77" s="3"/>
      <c r="S77" s="3"/>
      <c r="T77" s="3"/>
      <c r="U77" s="3"/>
      <c r="V77" s="3"/>
      <c r="W77" s="3"/>
      <c r="X77" s="3"/>
      <c r="Y77" s="3"/>
      <c r="Z77" s="3"/>
      <c r="AA77" s="3"/>
      <c r="AB77" s="3"/>
      <c r="AC77" s="3"/>
      <c r="AD77" s="3"/>
      <c r="AE77" s="3"/>
      <c r="AF77" s="3"/>
      <c r="AG77" s="3"/>
      <c r="AH77" s="3"/>
      <c r="AI77" s="3"/>
      <c r="AJ77" s="3"/>
      <c r="AK77" s="3"/>
      <c r="AL77" s="3"/>
      <c r="AM77" s="3"/>
      <c r="AN77" s="3"/>
      <c r="AO77" s="3"/>
      <c r="AP77" s="3"/>
      <c r="AQ77" s="3"/>
      <c r="AR77" s="3"/>
      <c r="AS77" s="3"/>
    </row>
    <row r="78" spans="1:45" x14ac:dyDescent="0.25">
      <c r="A78" s="3"/>
      <c r="B78" s="3"/>
      <c r="C78" s="3"/>
      <c r="D78" s="3"/>
      <c r="E78" s="3"/>
      <c r="F78" s="3"/>
      <c r="G78" s="3"/>
      <c r="H78" s="3"/>
      <c r="I78" s="3"/>
      <c r="J78" s="3"/>
      <c r="K78" s="3"/>
      <c r="L78" s="3"/>
      <c r="M78" s="3"/>
      <c r="N78" s="3"/>
      <c r="O78" s="3"/>
      <c r="P78" s="3"/>
      <c r="Q78" s="3" t="s">
        <v>30</v>
      </c>
      <c r="R78" s="3"/>
      <c r="S78" s="3"/>
      <c r="T78" s="3"/>
      <c r="U78" s="3"/>
      <c r="V78" s="3"/>
      <c r="W78" s="3"/>
      <c r="X78" s="3"/>
      <c r="Y78" s="3"/>
      <c r="Z78" s="3"/>
      <c r="AA78" s="3"/>
      <c r="AB78" s="3"/>
      <c r="AC78" s="3"/>
      <c r="AD78" s="3"/>
      <c r="AE78" s="3"/>
      <c r="AF78" s="3"/>
      <c r="AG78" s="3"/>
      <c r="AH78" s="3"/>
      <c r="AI78" s="3"/>
      <c r="AJ78" s="3"/>
      <c r="AK78" s="3"/>
      <c r="AL78" s="3"/>
      <c r="AM78" s="3"/>
      <c r="AN78" s="3"/>
      <c r="AO78" s="3"/>
      <c r="AP78" s="3"/>
      <c r="AQ78" s="3"/>
      <c r="AR78" s="3"/>
      <c r="AS78" s="3"/>
    </row>
    <row r="79" spans="1:45" x14ac:dyDescent="0.25">
      <c r="A79" s="3"/>
      <c r="B79" s="3"/>
      <c r="C79" s="3"/>
      <c r="D79" s="3"/>
      <c r="E79" s="3"/>
      <c r="F79" s="3"/>
      <c r="G79" s="3"/>
      <c r="H79" s="3"/>
      <c r="I79" s="3"/>
      <c r="J79" s="3"/>
      <c r="K79" s="3"/>
      <c r="L79" s="3"/>
      <c r="M79" s="3"/>
      <c r="N79" s="3"/>
      <c r="O79" s="3"/>
      <c r="P79" s="3"/>
      <c r="Q79" s="3" t="s">
        <v>31</v>
      </c>
      <c r="R79" s="3"/>
      <c r="S79" s="3"/>
      <c r="T79" s="3"/>
      <c r="U79" s="3"/>
      <c r="V79" s="3"/>
      <c r="W79" s="3"/>
      <c r="X79" s="3"/>
      <c r="Y79" s="3"/>
      <c r="Z79" s="3"/>
      <c r="AA79" s="3"/>
      <c r="AB79" s="3"/>
      <c r="AC79" s="3"/>
      <c r="AD79" s="3"/>
      <c r="AE79" s="3"/>
      <c r="AF79" s="3"/>
      <c r="AG79" s="3"/>
      <c r="AH79" s="3"/>
      <c r="AI79" s="3"/>
      <c r="AJ79" s="3"/>
      <c r="AK79" s="3"/>
      <c r="AL79" s="3"/>
      <c r="AM79" s="3"/>
      <c r="AN79" s="3"/>
      <c r="AO79" s="3"/>
      <c r="AP79" s="3"/>
      <c r="AQ79" s="3"/>
      <c r="AR79" s="3"/>
      <c r="AS79" s="3"/>
    </row>
    <row r="80" spans="1:45" x14ac:dyDescent="0.25">
      <c r="A80" s="3"/>
      <c r="B80" s="3"/>
      <c r="C80" s="3"/>
      <c r="D80" s="3"/>
      <c r="E80" s="3"/>
      <c r="F80" s="3"/>
      <c r="G80" s="3"/>
      <c r="H80" s="3"/>
      <c r="I80" s="3"/>
      <c r="J80" s="3"/>
      <c r="K80" s="3"/>
      <c r="L80" s="3"/>
      <c r="M80" s="3"/>
      <c r="N80" s="3"/>
      <c r="O80" s="3"/>
      <c r="P80" s="3"/>
      <c r="Q80" s="3" t="s">
        <v>32</v>
      </c>
      <c r="R80" s="3"/>
      <c r="S80" s="3"/>
      <c r="T80" s="3"/>
      <c r="U80" s="3"/>
      <c r="V80" s="3"/>
      <c r="W80" s="3"/>
      <c r="X80" s="3"/>
      <c r="Y80" s="3"/>
      <c r="Z80" s="3"/>
      <c r="AA80" s="3"/>
      <c r="AB80" s="3"/>
      <c r="AC80" s="3"/>
      <c r="AD80" s="3"/>
      <c r="AE80" s="3"/>
      <c r="AF80" s="3"/>
      <c r="AG80" s="3"/>
      <c r="AH80" s="3"/>
      <c r="AI80" s="3"/>
      <c r="AJ80" s="3"/>
      <c r="AK80" s="3"/>
      <c r="AL80" s="3"/>
      <c r="AM80" s="3"/>
      <c r="AN80" s="3"/>
      <c r="AO80" s="3"/>
      <c r="AP80" s="3"/>
      <c r="AQ80" s="3"/>
      <c r="AR80" s="3"/>
      <c r="AS80" s="3"/>
    </row>
    <row r="81" spans="1:45" x14ac:dyDescent="0.25">
      <c r="A81" s="3"/>
      <c r="B81" s="3"/>
      <c r="C81" s="3"/>
      <c r="D81" s="3"/>
      <c r="E81" s="3"/>
      <c r="F81" s="3"/>
      <c r="G81" s="3"/>
      <c r="H81" s="3"/>
      <c r="I81" s="3"/>
      <c r="J81" s="3"/>
      <c r="K81" s="3"/>
      <c r="L81" s="3"/>
      <c r="M81" s="3"/>
      <c r="N81" s="3"/>
      <c r="O81" s="3"/>
      <c r="P81" s="3"/>
      <c r="Q81" s="3" t="s">
        <v>33</v>
      </c>
      <c r="R81" s="3"/>
      <c r="S81" s="3"/>
      <c r="T81" s="3"/>
      <c r="U81" s="3"/>
      <c r="V81" s="3"/>
      <c r="W81" s="3"/>
      <c r="X81" s="3"/>
      <c r="Y81" s="3"/>
      <c r="Z81" s="3"/>
      <c r="AA81" s="3"/>
      <c r="AB81" s="3"/>
      <c r="AC81" s="3"/>
      <c r="AD81" s="3"/>
      <c r="AE81" s="3"/>
      <c r="AF81" s="3"/>
      <c r="AG81" s="3"/>
      <c r="AH81" s="3"/>
      <c r="AI81" s="3"/>
      <c r="AJ81" s="3"/>
      <c r="AK81" s="3"/>
      <c r="AL81" s="3"/>
      <c r="AM81" s="3"/>
      <c r="AN81" s="3"/>
      <c r="AO81" s="3"/>
      <c r="AP81" s="3"/>
      <c r="AQ81" s="3"/>
      <c r="AR81" s="3"/>
      <c r="AS81" s="3"/>
    </row>
    <row r="82" spans="1:45" x14ac:dyDescent="0.25">
      <c r="A82" s="3"/>
      <c r="B82" s="3"/>
      <c r="C82" s="3"/>
      <c r="D82" s="3"/>
      <c r="E82" s="3"/>
      <c r="F82" s="3"/>
      <c r="G82" s="3"/>
      <c r="H82" s="3"/>
      <c r="I82" s="3"/>
      <c r="J82" s="3"/>
      <c r="K82" s="3"/>
      <c r="L82" s="3"/>
      <c r="M82" s="3"/>
      <c r="N82" s="3"/>
      <c r="O82" s="3"/>
      <c r="P82" s="3"/>
      <c r="Q82" s="3" t="s">
        <v>34</v>
      </c>
      <c r="R82" s="3"/>
      <c r="S82" s="3"/>
      <c r="T82" s="3"/>
      <c r="U82" s="3"/>
      <c r="V82" s="3"/>
      <c r="W82" s="3"/>
      <c r="X82" s="3"/>
      <c r="Y82" s="3"/>
      <c r="Z82" s="3"/>
      <c r="AA82" s="3"/>
      <c r="AB82" s="3"/>
      <c r="AC82" s="3"/>
      <c r="AD82" s="3"/>
      <c r="AE82" s="3"/>
      <c r="AF82" s="3"/>
      <c r="AG82" s="3"/>
      <c r="AH82" s="3"/>
      <c r="AI82" s="3"/>
      <c r="AJ82" s="3"/>
      <c r="AK82" s="3"/>
      <c r="AL82" s="3"/>
      <c r="AM82" s="3"/>
      <c r="AN82" s="3"/>
      <c r="AO82" s="3"/>
      <c r="AP82" s="3"/>
      <c r="AQ82" s="3"/>
      <c r="AR82" s="3"/>
      <c r="AS82" s="3"/>
    </row>
    <row r="83" spans="1:45" x14ac:dyDescent="0.25">
      <c r="A83" s="3"/>
      <c r="B83" s="3"/>
      <c r="C83" s="3"/>
      <c r="D83" s="3"/>
      <c r="E83" s="3"/>
      <c r="F83" s="3"/>
      <c r="G83" s="3"/>
      <c r="H83" s="3"/>
      <c r="I83" s="3"/>
      <c r="J83" s="3"/>
      <c r="K83" s="3"/>
      <c r="L83" s="3"/>
      <c r="M83" s="3"/>
      <c r="N83" s="3"/>
      <c r="O83" s="3"/>
      <c r="P83" s="3"/>
      <c r="Q83" s="3" t="s">
        <v>35</v>
      </c>
      <c r="R83" s="3"/>
      <c r="S83" s="3"/>
      <c r="T83" s="3"/>
      <c r="U83" s="3"/>
      <c r="V83" s="3"/>
      <c r="W83" s="3"/>
      <c r="X83" s="3"/>
      <c r="Y83" s="3"/>
      <c r="Z83" s="3"/>
      <c r="AA83" s="3"/>
      <c r="AB83" s="3"/>
      <c r="AC83" s="3"/>
      <c r="AD83" s="3"/>
      <c r="AE83" s="3"/>
      <c r="AF83" s="3"/>
      <c r="AG83" s="3"/>
      <c r="AH83" s="3"/>
      <c r="AI83" s="3"/>
      <c r="AJ83" s="3"/>
      <c r="AK83" s="3"/>
      <c r="AL83" s="3"/>
      <c r="AM83" s="3"/>
      <c r="AN83" s="3"/>
      <c r="AO83" s="3"/>
      <c r="AP83" s="3"/>
      <c r="AQ83" s="3"/>
      <c r="AR83" s="3"/>
      <c r="AS83" s="3"/>
    </row>
    <row r="84" spans="1:45" x14ac:dyDescent="0.25">
      <c r="A84" s="3"/>
      <c r="B84" s="3"/>
      <c r="C84" s="3"/>
      <c r="D84" s="3"/>
      <c r="E84" s="3"/>
      <c r="F84" s="3"/>
      <c r="G84" s="3"/>
      <c r="H84" s="3"/>
      <c r="I84" s="3"/>
      <c r="J84" s="3"/>
      <c r="K84" s="3"/>
      <c r="L84" s="3"/>
      <c r="M84" s="3"/>
      <c r="N84" s="3"/>
      <c r="O84" s="3"/>
      <c r="P84" s="3"/>
      <c r="Q84" s="3" t="s">
        <v>36</v>
      </c>
      <c r="R84" s="3"/>
      <c r="S84" s="3"/>
      <c r="T84" s="3"/>
      <c r="U84" s="3"/>
      <c r="V84" s="3"/>
      <c r="W84" s="3"/>
      <c r="X84" s="3"/>
      <c r="Y84" s="3"/>
      <c r="Z84" s="3"/>
      <c r="AA84" s="3"/>
      <c r="AB84" s="3"/>
      <c r="AC84" s="3"/>
      <c r="AD84" s="3"/>
      <c r="AE84" s="3"/>
      <c r="AF84" s="3"/>
      <c r="AG84" s="3"/>
      <c r="AH84" s="3"/>
      <c r="AI84" s="3"/>
      <c r="AJ84" s="3"/>
      <c r="AK84" s="3"/>
      <c r="AL84" s="3"/>
      <c r="AM84" s="3"/>
      <c r="AN84" s="3"/>
      <c r="AO84" s="3"/>
      <c r="AP84" s="3"/>
      <c r="AQ84" s="3"/>
      <c r="AR84" s="3"/>
      <c r="AS84" s="3"/>
    </row>
    <row r="85" spans="1:45" x14ac:dyDescent="0.25">
      <c r="A85" s="3"/>
      <c r="B85" s="3"/>
      <c r="C85" s="3"/>
      <c r="D85" s="3"/>
      <c r="E85" s="3"/>
      <c r="F85" s="3"/>
      <c r="G85" s="3"/>
      <c r="H85" s="3"/>
      <c r="I85" s="3"/>
      <c r="J85" s="3"/>
      <c r="K85" s="3"/>
      <c r="L85" s="3"/>
      <c r="M85" s="3"/>
      <c r="N85" s="3"/>
      <c r="O85" s="3"/>
      <c r="P85" s="3"/>
      <c r="Q85" s="3" t="s">
        <v>37</v>
      </c>
      <c r="R85" s="3"/>
      <c r="S85" s="3"/>
      <c r="T85" s="3"/>
      <c r="U85" s="3"/>
      <c r="V85" s="3"/>
      <c r="W85" s="3"/>
      <c r="X85" s="3"/>
      <c r="Y85" s="3"/>
      <c r="Z85" s="3"/>
      <c r="AA85" s="3"/>
      <c r="AB85" s="3"/>
      <c r="AC85" s="3"/>
      <c r="AD85" s="3"/>
      <c r="AE85" s="3"/>
      <c r="AF85" s="3"/>
      <c r="AG85" s="3"/>
      <c r="AH85" s="3"/>
      <c r="AI85" s="3"/>
      <c r="AJ85" s="3"/>
      <c r="AK85" s="3"/>
      <c r="AL85" s="3"/>
      <c r="AM85" s="3"/>
      <c r="AN85" s="3"/>
      <c r="AO85" s="3"/>
      <c r="AP85" s="3"/>
      <c r="AQ85" s="3"/>
      <c r="AR85" s="3"/>
      <c r="AS85" s="3"/>
    </row>
    <row r="86" spans="1:45" x14ac:dyDescent="0.25">
      <c r="A86" s="3"/>
      <c r="B86" s="3"/>
      <c r="C86" s="3"/>
      <c r="D86" s="3"/>
      <c r="E86" s="3"/>
      <c r="F86" s="3"/>
      <c r="G86" s="3"/>
      <c r="H86" s="3"/>
      <c r="I86" s="3"/>
      <c r="J86" s="3"/>
      <c r="K86" s="3"/>
      <c r="L86" s="3"/>
      <c r="M86" s="3"/>
      <c r="N86" s="3"/>
      <c r="O86" s="3"/>
      <c r="P86" s="3"/>
      <c r="Q86" s="3" t="s">
        <v>38</v>
      </c>
      <c r="R86" s="3"/>
      <c r="S86" s="3"/>
      <c r="T86" s="3"/>
      <c r="U86" s="3"/>
      <c r="V86" s="3"/>
      <c r="W86" s="3"/>
      <c r="X86" s="3"/>
      <c r="Y86" s="3"/>
      <c r="Z86" s="3"/>
      <c r="AA86" s="3"/>
      <c r="AB86" s="3"/>
      <c r="AC86" s="3"/>
      <c r="AD86" s="3"/>
      <c r="AE86" s="3"/>
      <c r="AF86" s="3"/>
      <c r="AG86" s="3"/>
      <c r="AH86" s="3"/>
      <c r="AI86" s="3"/>
      <c r="AJ86" s="3"/>
      <c r="AK86" s="3"/>
      <c r="AL86" s="3"/>
      <c r="AM86" s="3"/>
      <c r="AN86" s="3"/>
      <c r="AO86" s="3"/>
      <c r="AP86" s="3"/>
      <c r="AQ86" s="3"/>
      <c r="AR86" s="3"/>
      <c r="AS86" s="3"/>
    </row>
    <row r="87" spans="1:45" x14ac:dyDescent="0.25">
      <c r="A87" s="3"/>
      <c r="B87" s="3"/>
      <c r="C87" s="3"/>
      <c r="D87" s="3"/>
      <c r="E87" s="3"/>
      <c r="F87" s="3"/>
      <c r="G87" s="3"/>
      <c r="H87" s="3"/>
      <c r="I87" s="3"/>
      <c r="J87" s="3"/>
      <c r="K87" s="3"/>
      <c r="L87" s="3"/>
      <c r="M87" s="3"/>
      <c r="N87" s="3"/>
      <c r="O87" s="3"/>
      <c r="P87" s="3"/>
      <c r="Q87" s="3" t="s">
        <v>39</v>
      </c>
      <c r="R87" s="3"/>
      <c r="S87" s="3"/>
      <c r="T87" s="3"/>
      <c r="U87" s="3"/>
      <c r="V87" s="3"/>
      <c r="W87" s="3"/>
      <c r="X87" s="3"/>
      <c r="Y87" s="3"/>
      <c r="Z87" s="3"/>
      <c r="AA87" s="3"/>
      <c r="AB87" s="3"/>
      <c r="AC87" s="3"/>
      <c r="AD87" s="3"/>
      <c r="AE87" s="3"/>
      <c r="AF87" s="3"/>
      <c r="AG87" s="3"/>
      <c r="AH87" s="3"/>
      <c r="AI87" s="3"/>
      <c r="AJ87" s="3"/>
      <c r="AK87" s="3"/>
      <c r="AL87" s="3"/>
      <c r="AM87" s="3"/>
      <c r="AN87" s="3"/>
      <c r="AO87" s="3"/>
      <c r="AP87" s="3"/>
      <c r="AQ87" s="3"/>
      <c r="AR87" s="3"/>
      <c r="AS87" s="3"/>
    </row>
    <row r="88" spans="1:45" x14ac:dyDescent="0.25">
      <c r="A88" s="3"/>
      <c r="B88" s="3"/>
      <c r="C88" s="3"/>
      <c r="D88" s="3"/>
      <c r="E88" s="3"/>
      <c r="F88" s="3"/>
      <c r="G88" s="3"/>
      <c r="H88" s="3"/>
      <c r="I88" s="3"/>
      <c r="J88" s="3"/>
      <c r="K88" s="3"/>
      <c r="L88" s="3"/>
      <c r="M88" s="3"/>
      <c r="N88" s="3"/>
      <c r="O88" s="3"/>
      <c r="P88" s="3"/>
      <c r="Q88" s="3" t="s">
        <v>40</v>
      </c>
      <c r="R88" s="3"/>
      <c r="S88" s="3"/>
      <c r="T88" s="3"/>
      <c r="U88" s="3"/>
      <c r="V88" s="3"/>
      <c r="W88" s="3"/>
      <c r="X88" s="3"/>
      <c r="Y88" s="3"/>
      <c r="Z88" s="3"/>
      <c r="AA88" s="3"/>
      <c r="AB88" s="3"/>
      <c r="AC88" s="3"/>
      <c r="AD88" s="3"/>
      <c r="AE88" s="3"/>
      <c r="AF88" s="3"/>
      <c r="AG88" s="3"/>
      <c r="AH88" s="3"/>
      <c r="AI88" s="3"/>
      <c r="AJ88" s="3"/>
      <c r="AK88" s="3"/>
      <c r="AL88" s="3"/>
      <c r="AM88" s="3"/>
      <c r="AN88" s="3"/>
      <c r="AO88" s="3"/>
      <c r="AP88" s="3"/>
      <c r="AQ88" s="3"/>
      <c r="AR88" s="3"/>
      <c r="AS88" s="3"/>
    </row>
    <row r="89" spans="1:45" x14ac:dyDescent="0.25">
      <c r="A89" s="3"/>
      <c r="B89" s="3"/>
      <c r="C89" s="3"/>
      <c r="D89" s="3"/>
      <c r="E89" s="3"/>
      <c r="F89" s="3"/>
      <c r="G89" s="3"/>
      <c r="H89" s="3"/>
      <c r="I89" s="3"/>
      <c r="J89" s="3"/>
      <c r="K89" s="3"/>
      <c r="L89" s="3"/>
      <c r="M89" s="3"/>
      <c r="N89" s="3"/>
      <c r="O89" s="3"/>
      <c r="P89" s="3"/>
      <c r="Q89" s="3" t="s">
        <v>41</v>
      </c>
      <c r="R89" s="3"/>
      <c r="S89" s="3"/>
      <c r="T89" s="3"/>
      <c r="U89" s="3"/>
      <c r="V89" s="3"/>
      <c r="W89" s="3"/>
      <c r="X89" s="3"/>
      <c r="Y89" s="3"/>
      <c r="Z89" s="3"/>
      <c r="AA89" s="3"/>
      <c r="AB89" s="3"/>
      <c r="AC89" s="3"/>
      <c r="AD89" s="3"/>
      <c r="AE89" s="3"/>
      <c r="AF89" s="3"/>
      <c r="AG89" s="3"/>
      <c r="AH89" s="3"/>
      <c r="AI89" s="3"/>
      <c r="AJ89" s="3"/>
      <c r="AK89" s="3"/>
      <c r="AL89" s="3"/>
      <c r="AM89" s="3"/>
      <c r="AN89" s="3"/>
      <c r="AO89" s="3"/>
      <c r="AP89" s="3"/>
      <c r="AQ89" s="3"/>
      <c r="AR89" s="3"/>
      <c r="AS89" s="3"/>
    </row>
    <row r="90" spans="1:45" x14ac:dyDescent="0.25">
      <c r="A90" s="3"/>
      <c r="B90" s="3"/>
      <c r="C90" s="3"/>
      <c r="D90" s="3"/>
      <c r="E90" s="3"/>
      <c r="F90" s="3"/>
      <c r="G90" s="3"/>
      <c r="H90" s="3"/>
      <c r="I90" s="3"/>
      <c r="J90" s="3"/>
      <c r="K90" s="3"/>
      <c r="L90" s="3"/>
      <c r="M90" s="3"/>
      <c r="N90" s="3"/>
      <c r="O90" s="3"/>
      <c r="P90" s="3"/>
      <c r="Q90" s="3" t="s">
        <v>42</v>
      </c>
      <c r="R90" s="3"/>
      <c r="S90" s="3"/>
      <c r="T90" s="3"/>
      <c r="U90" s="3"/>
      <c r="V90" s="3"/>
      <c r="W90" s="3"/>
      <c r="X90" s="3"/>
      <c r="Y90" s="3"/>
      <c r="Z90" s="3"/>
      <c r="AA90" s="3"/>
      <c r="AB90" s="3"/>
      <c r="AC90" s="3"/>
      <c r="AD90" s="3"/>
      <c r="AE90" s="3"/>
      <c r="AF90" s="3"/>
      <c r="AG90" s="3"/>
      <c r="AH90" s="3"/>
      <c r="AI90" s="3"/>
      <c r="AJ90" s="3"/>
      <c r="AK90" s="3"/>
      <c r="AL90" s="3"/>
      <c r="AM90" s="3"/>
      <c r="AN90" s="3"/>
      <c r="AO90" s="3"/>
      <c r="AP90" s="3"/>
      <c r="AQ90" s="3"/>
      <c r="AR90" s="3"/>
      <c r="AS90" s="3"/>
    </row>
    <row r="91" spans="1:45" x14ac:dyDescent="0.25">
      <c r="A91" s="3"/>
      <c r="B91" s="3"/>
      <c r="C91" s="3"/>
      <c r="D91" s="3"/>
      <c r="E91" s="3"/>
      <c r="F91" s="3"/>
      <c r="G91" s="3"/>
      <c r="H91" s="3"/>
      <c r="I91" s="3"/>
      <c r="J91" s="3"/>
      <c r="K91" s="3"/>
      <c r="L91" s="3"/>
      <c r="M91" s="3"/>
      <c r="N91" s="3"/>
      <c r="O91" s="3"/>
      <c r="P91" s="3"/>
      <c r="Q91" s="3" t="s">
        <v>43</v>
      </c>
      <c r="R91" s="3"/>
      <c r="S91" s="3"/>
      <c r="T91" s="3"/>
      <c r="U91" s="3"/>
      <c r="V91" s="3"/>
      <c r="W91" s="3"/>
      <c r="X91" s="3"/>
      <c r="Y91" s="3"/>
      <c r="Z91" s="3"/>
      <c r="AA91" s="3"/>
      <c r="AB91" s="3"/>
      <c r="AC91" s="3"/>
      <c r="AD91" s="3"/>
      <c r="AE91" s="3"/>
      <c r="AF91" s="3"/>
      <c r="AG91" s="3"/>
      <c r="AH91" s="3"/>
      <c r="AI91" s="3"/>
      <c r="AJ91" s="3"/>
      <c r="AK91" s="3"/>
      <c r="AL91" s="3"/>
      <c r="AM91" s="3"/>
      <c r="AN91" s="3"/>
      <c r="AO91" s="3"/>
      <c r="AP91" s="3"/>
      <c r="AQ91" s="3"/>
      <c r="AR91" s="3"/>
      <c r="AS91" s="3"/>
    </row>
    <row r="92" spans="1:45" x14ac:dyDescent="0.25">
      <c r="A92" s="3"/>
      <c r="B92" s="3"/>
      <c r="C92" s="3"/>
      <c r="D92" s="3"/>
      <c r="E92" s="3"/>
      <c r="F92" s="3"/>
      <c r="G92" s="3"/>
      <c r="H92" s="3"/>
      <c r="I92" s="3"/>
      <c r="J92" s="3"/>
      <c r="K92" s="3"/>
      <c r="L92" s="3"/>
      <c r="M92" s="3"/>
      <c r="N92" s="3"/>
      <c r="O92" s="3"/>
      <c r="P92" s="3"/>
      <c r="Q92" s="3" t="s">
        <v>44</v>
      </c>
      <c r="R92" s="3"/>
      <c r="S92" s="3"/>
      <c r="T92" s="3"/>
      <c r="U92" s="3"/>
      <c r="V92" s="3"/>
      <c r="W92" s="3"/>
      <c r="X92" s="3"/>
      <c r="Y92" s="3"/>
      <c r="Z92" s="3"/>
      <c r="AA92" s="3"/>
      <c r="AB92" s="3"/>
      <c r="AC92" s="3"/>
      <c r="AD92" s="3"/>
      <c r="AE92" s="3"/>
      <c r="AF92" s="3"/>
      <c r="AG92" s="3"/>
      <c r="AH92" s="3"/>
      <c r="AI92" s="3"/>
      <c r="AJ92" s="3"/>
      <c r="AK92" s="3"/>
      <c r="AL92" s="3"/>
      <c r="AM92" s="3"/>
      <c r="AN92" s="3"/>
      <c r="AO92" s="3"/>
      <c r="AP92" s="3"/>
      <c r="AQ92" s="3"/>
      <c r="AR92" s="3"/>
      <c r="AS92" s="3"/>
    </row>
    <row r="93" spans="1:45" x14ac:dyDescent="0.25">
      <c r="A93" s="3"/>
      <c r="B93" s="3"/>
      <c r="C93" s="3"/>
      <c r="D93" s="3"/>
      <c r="E93" s="3"/>
      <c r="F93" s="3"/>
      <c r="G93" s="3"/>
      <c r="H93" s="3"/>
      <c r="I93" s="3"/>
      <c r="J93" s="3"/>
      <c r="K93" s="3"/>
      <c r="L93" s="3"/>
      <c r="M93" s="3"/>
      <c r="N93" s="3"/>
      <c r="O93" s="3"/>
      <c r="P93" s="3"/>
      <c r="Q93" s="3" t="s">
        <v>45</v>
      </c>
      <c r="R93" s="3"/>
      <c r="S93" s="3"/>
      <c r="T93" s="3"/>
      <c r="U93" s="3"/>
      <c r="V93" s="3"/>
      <c r="W93" s="3"/>
      <c r="X93" s="3"/>
      <c r="Y93" s="3"/>
      <c r="Z93" s="3"/>
      <c r="AA93" s="3"/>
      <c r="AB93" s="3"/>
      <c r="AC93" s="3"/>
      <c r="AD93" s="3"/>
      <c r="AE93" s="3"/>
      <c r="AF93" s="3"/>
      <c r="AG93" s="3"/>
      <c r="AH93" s="3"/>
      <c r="AI93" s="3"/>
      <c r="AJ93" s="3"/>
      <c r="AK93" s="3"/>
      <c r="AL93" s="3"/>
      <c r="AM93" s="3"/>
      <c r="AN93" s="3"/>
      <c r="AO93" s="3"/>
      <c r="AP93" s="3"/>
      <c r="AQ93" s="3"/>
      <c r="AR93" s="3"/>
      <c r="AS93" s="3"/>
    </row>
    <row r="94" spans="1:45" x14ac:dyDescent="0.25">
      <c r="A94" s="3"/>
      <c r="B94" s="3"/>
      <c r="C94" s="3"/>
      <c r="D94" s="3"/>
      <c r="E94" s="3"/>
      <c r="F94" s="3"/>
      <c r="G94" s="3"/>
      <c r="H94" s="3"/>
      <c r="I94" s="3"/>
      <c r="J94" s="3"/>
      <c r="K94" s="3"/>
      <c r="L94" s="3"/>
      <c r="M94" s="3"/>
      <c r="N94" s="3"/>
      <c r="O94" s="3"/>
      <c r="P94" s="3"/>
      <c r="Q94" s="3" t="s">
        <v>46</v>
      </c>
      <c r="R94" s="3"/>
      <c r="S94" s="3"/>
      <c r="T94" s="3"/>
      <c r="U94" s="3"/>
      <c r="V94" s="3"/>
      <c r="W94" s="3"/>
      <c r="X94" s="3"/>
      <c r="Y94" s="3"/>
      <c r="Z94" s="3"/>
      <c r="AA94" s="3"/>
      <c r="AB94" s="3"/>
      <c r="AC94" s="3"/>
      <c r="AD94" s="3"/>
      <c r="AE94" s="3"/>
      <c r="AF94" s="3"/>
      <c r="AG94" s="3"/>
      <c r="AH94" s="3"/>
      <c r="AI94" s="3"/>
      <c r="AJ94" s="3"/>
      <c r="AK94" s="3"/>
      <c r="AL94" s="3"/>
      <c r="AM94" s="3"/>
      <c r="AN94" s="3"/>
      <c r="AO94" s="3"/>
      <c r="AP94" s="3"/>
      <c r="AQ94" s="3"/>
      <c r="AR94" s="3"/>
      <c r="AS94" s="3"/>
    </row>
    <row r="95" spans="1:45" x14ac:dyDescent="0.25">
      <c r="A95" s="3"/>
      <c r="B95" s="3"/>
      <c r="C95" s="3"/>
      <c r="D95" s="3"/>
      <c r="E95" s="3"/>
      <c r="F95" s="3"/>
      <c r="G95" s="3"/>
      <c r="H95" s="3"/>
      <c r="I95" s="3"/>
      <c r="J95" s="3"/>
      <c r="K95" s="3"/>
      <c r="L95" s="3"/>
      <c r="M95" s="3"/>
      <c r="N95" s="3"/>
      <c r="O95" s="3"/>
      <c r="P95" s="3"/>
      <c r="Q95" s="3" t="s">
        <v>47</v>
      </c>
      <c r="R95" s="3"/>
      <c r="S95" s="3"/>
      <c r="T95" s="3"/>
      <c r="U95" s="3"/>
      <c r="V95" s="3"/>
      <c r="W95" s="3"/>
      <c r="X95" s="3"/>
      <c r="Y95" s="3"/>
      <c r="Z95" s="3"/>
      <c r="AA95" s="3"/>
      <c r="AB95" s="3"/>
      <c r="AC95" s="3"/>
      <c r="AD95" s="3"/>
      <c r="AE95" s="3"/>
      <c r="AF95" s="3"/>
      <c r="AG95" s="3"/>
      <c r="AH95" s="3"/>
      <c r="AI95" s="3"/>
      <c r="AJ95" s="3"/>
      <c r="AK95" s="3"/>
      <c r="AL95" s="3"/>
      <c r="AM95" s="3"/>
      <c r="AN95" s="3"/>
      <c r="AO95" s="3"/>
      <c r="AP95" s="3"/>
      <c r="AQ95" s="3"/>
      <c r="AR95" s="3"/>
      <c r="AS95" s="3"/>
    </row>
    <row r="96" spans="1:45" x14ac:dyDescent="0.25">
      <c r="A96" s="3"/>
      <c r="B96" s="3"/>
      <c r="C96" s="3"/>
      <c r="D96" s="3"/>
      <c r="E96" s="3"/>
      <c r="F96" s="3"/>
      <c r="G96" s="3"/>
      <c r="H96" s="3"/>
      <c r="I96" s="3"/>
      <c r="J96" s="3"/>
      <c r="K96" s="3"/>
      <c r="L96" s="3"/>
      <c r="M96" s="3"/>
      <c r="N96" s="3"/>
      <c r="O96" s="3"/>
      <c r="P96" s="3"/>
      <c r="Q96" s="3" t="s">
        <v>48</v>
      </c>
      <c r="R96" s="3"/>
      <c r="S96" s="3"/>
      <c r="T96" s="3"/>
      <c r="U96" s="3"/>
      <c r="V96" s="3"/>
      <c r="W96" s="3"/>
      <c r="X96" s="3"/>
      <c r="Y96" s="3"/>
      <c r="Z96" s="3"/>
      <c r="AA96" s="3"/>
      <c r="AB96" s="3"/>
      <c r="AC96" s="3"/>
      <c r="AD96" s="3"/>
      <c r="AE96" s="3"/>
      <c r="AF96" s="3"/>
      <c r="AG96" s="3"/>
      <c r="AH96" s="3"/>
      <c r="AI96" s="3"/>
      <c r="AJ96" s="3"/>
      <c r="AK96" s="3"/>
      <c r="AL96" s="3"/>
      <c r="AM96" s="3"/>
      <c r="AN96" s="3"/>
      <c r="AO96" s="3"/>
      <c r="AP96" s="3"/>
      <c r="AQ96" s="3"/>
      <c r="AR96" s="3"/>
      <c r="AS96" s="3"/>
    </row>
    <row r="97" spans="1:45" x14ac:dyDescent="0.25">
      <c r="A97" s="3"/>
      <c r="B97" s="3"/>
      <c r="C97" s="3"/>
      <c r="D97" s="3"/>
      <c r="E97" s="3"/>
      <c r="F97" s="3"/>
      <c r="G97" s="3"/>
      <c r="H97" s="3"/>
      <c r="I97" s="3"/>
      <c r="J97" s="3"/>
      <c r="K97" s="3"/>
      <c r="L97" s="3"/>
      <c r="M97" s="3"/>
      <c r="N97" s="3"/>
      <c r="O97" s="3"/>
      <c r="P97" s="3"/>
      <c r="Q97" s="3" t="s">
        <v>49</v>
      </c>
      <c r="R97" s="3"/>
      <c r="S97" s="3"/>
      <c r="T97" s="3"/>
      <c r="U97" s="3"/>
      <c r="V97" s="3"/>
      <c r="W97" s="3"/>
      <c r="X97" s="3"/>
      <c r="Y97" s="3"/>
      <c r="Z97" s="3"/>
      <c r="AA97" s="3"/>
      <c r="AB97" s="3"/>
      <c r="AC97" s="3"/>
      <c r="AD97" s="3"/>
      <c r="AE97" s="3"/>
      <c r="AF97" s="3"/>
      <c r="AG97" s="3"/>
      <c r="AH97" s="3"/>
      <c r="AI97" s="3"/>
      <c r="AJ97" s="3"/>
      <c r="AK97" s="3"/>
      <c r="AL97" s="3"/>
      <c r="AM97" s="3"/>
      <c r="AN97" s="3"/>
      <c r="AO97" s="3"/>
      <c r="AP97" s="3"/>
      <c r="AQ97" s="3"/>
      <c r="AR97" s="3"/>
      <c r="AS97" s="3"/>
    </row>
    <row r="98" spans="1:45" x14ac:dyDescent="0.25">
      <c r="A98" s="3"/>
      <c r="B98" s="3"/>
      <c r="C98" s="3"/>
      <c r="D98" s="3"/>
      <c r="E98" s="3"/>
      <c r="F98" s="3"/>
      <c r="G98" s="3"/>
      <c r="H98" s="3"/>
      <c r="I98" s="3"/>
      <c r="J98" s="3"/>
      <c r="K98" s="3"/>
      <c r="L98" s="3"/>
      <c r="M98" s="3"/>
      <c r="N98" s="3"/>
      <c r="O98" s="3"/>
      <c r="P98" s="3"/>
      <c r="Q98" s="3" t="s">
        <v>50</v>
      </c>
      <c r="R98" s="3"/>
      <c r="S98" s="3"/>
      <c r="T98" s="3"/>
      <c r="U98" s="3"/>
      <c r="V98" s="3"/>
      <c r="W98" s="3"/>
      <c r="X98" s="3"/>
      <c r="Y98" s="3"/>
      <c r="Z98" s="3"/>
      <c r="AA98" s="3"/>
      <c r="AB98" s="3"/>
      <c r="AC98" s="3"/>
      <c r="AD98" s="3"/>
      <c r="AE98" s="3"/>
      <c r="AF98" s="3"/>
      <c r="AG98" s="3"/>
      <c r="AH98" s="3"/>
      <c r="AI98" s="3"/>
      <c r="AJ98" s="3"/>
      <c r="AK98" s="3"/>
      <c r="AL98" s="3"/>
      <c r="AM98" s="3"/>
      <c r="AN98" s="3"/>
      <c r="AO98" s="3"/>
      <c r="AP98" s="3"/>
      <c r="AQ98" s="3"/>
      <c r="AR98" s="3"/>
      <c r="AS98" s="3"/>
    </row>
    <row r="99" spans="1:45" x14ac:dyDescent="0.25">
      <c r="A99" s="3"/>
      <c r="B99" s="3"/>
      <c r="C99" s="3"/>
      <c r="D99" s="3"/>
      <c r="E99" s="3"/>
      <c r="F99" s="3"/>
      <c r="G99" s="3"/>
      <c r="H99" s="3"/>
      <c r="I99" s="3"/>
      <c r="J99" s="3"/>
      <c r="K99" s="3"/>
      <c r="L99" s="3"/>
      <c r="M99" s="3"/>
      <c r="N99" s="3"/>
      <c r="O99" s="3"/>
      <c r="P99" s="3"/>
      <c r="Q99" s="3" t="s">
        <v>51</v>
      </c>
      <c r="R99" s="3"/>
      <c r="S99" s="3"/>
      <c r="T99" s="3"/>
      <c r="U99" s="3"/>
      <c r="V99" s="3"/>
      <c r="W99" s="3"/>
      <c r="X99" s="3"/>
      <c r="Y99" s="3"/>
      <c r="Z99" s="3"/>
      <c r="AA99" s="3"/>
      <c r="AB99" s="3"/>
      <c r="AC99" s="3"/>
      <c r="AD99" s="3"/>
      <c r="AE99" s="3"/>
      <c r="AF99" s="3"/>
      <c r="AG99" s="3"/>
      <c r="AH99" s="3"/>
      <c r="AI99" s="3"/>
      <c r="AJ99" s="3"/>
      <c r="AK99" s="3"/>
      <c r="AL99" s="3"/>
      <c r="AM99" s="3"/>
      <c r="AN99" s="3"/>
      <c r="AO99" s="3"/>
      <c r="AP99" s="3"/>
      <c r="AQ99" s="3"/>
      <c r="AR99" s="3"/>
      <c r="AS99" s="3"/>
    </row>
    <row r="100" spans="1:45" x14ac:dyDescent="0.25">
      <c r="A100" s="3"/>
      <c r="B100" s="3"/>
      <c r="C100" s="3"/>
      <c r="D100" s="3"/>
      <c r="E100" s="3"/>
      <c r="F100" s="3"/>
      <c r="G100" s="3"/>
      <c r="H100" s="3"/>
      <c r="I100" s="3"/>
      <c r="J100" s="3"/>
      <c r="K100" s="3"/>
      <c r="L100" s="3"/>
      <c r="M100" s="3"/>
      <c r="N100" s="3"/>
      <c r="O100" s="3"/>
      <c r="P100" s="3"/>
      <c r="Q100" s="3" t="s">
        <v>52</v>
      </c>
      <c r="R100" s="3"/>
      <c r="S100" s="3"/>
      <c r="T100" s="3"/>
      <c r="U100" s="3"/>
      <c r="V100" s="3"/>
      <c r="W100" s="3"/>
      <c r="X100" s="3"/>
      <c r="Y100" s="3"/>
      <c r="Z100" s="3"/>
      <c r="AA100" s="3"/>
      <c r="AB100" s="3"/>
      <c r="AC100" s="3"/>
      <c r="AD100" s="3"/>
      <c r="AE100" s="3"/>
      <c r="AF100" s="3"/>
      <c r="AG100" s="3"/>
      <c r="AH100" s="3"/>
      <c r="AI100" s="3"/>
      <c r="AJ100" s="3"/>
      <c r="AK100" s="3"/>
      <c r="AL100" s="3"/>
      <c r="AM100" s="3"/>
      <c r="AN100" s="3"/>
      <c r="AO100" s="3"/>
      <c r="AP100" s="3"/>
      <c r="AQ100" s="3"/>
      <c r="AR100" s="3"/>
      <c r="AS100" s="3"/>
    </row>
    <row r="101" spans="1:45" x14ac:dyDescent="0.25">
      <c r="A101" s="3"/>
      <c r="B101" s="3"/>
      <c r="C101" s="3"/>
      <c r="D101" s="3"/>
      <c r="E101" s="3"/>
      <c r="F101" s="3"/>
      <c r="G101" s="3"/>
      <c r="H101" s="3"/>
      <c r="I101" s="3"/>
      <c r="J101" s="3"/>
      <c r="K101" s="3"/>
      <c r="L101" s="3"/>
      <c r="M101" s="3"/>
      <c r="N101" s="3"/>
      <c r="O101" s="3"/>
      <c r="P101" s="3"/>
      <c r="Q101" s="3" t="s">
        <v>53</v>
      </c>
      <c r="R101" s="3"/>
      <c r="S101" s="3"/>
      <c r="T101" s="3"/>
      <c r="U101" s="3"/>
      <c r="V101" s="3"/>
      <c r="W101" s="3"/>
      <c r="X101" s="3"/>
      <c r="Y101" s="3"/>
      <c r="Z101" s="3"/>
      <c r="AA101" s="3"/>
      <c r="AB101" s="3"/>
      <c r="AC101" s="3"/>
      <c r="AD101" s="3"/>
      <c r="AE101" s="3"/>
      <c r="AF101" s="3"/>
      <c r="AG101" s="3"/>
      <c r="AH101" s="3"/>
      <c r="AI101" s="3"/>
      <c r="AJ101" s="3"/>
      <c r="AK101" s="3"/>
      <c r="AL101" s="3"/>
      <c r="AM101" s="3"/>
      <c r="AN101" s="3"/>
      <c r="AO101" s="3"/>
      <c r="AP101" s="3"/>
      <c r="AQ101" s="3"/>
      <c r="AR101" s="3"/>
      <c r="AS101" s="3"/>
    </row>
    <row r="102" spans="1:45" x14ac:dyDescent="0.25">
      <c r="A102" s="3"/>
      <c r="B102" s="3"/>
      <c r="C102" s="3"/>
      <c r="D102" s="3"/>
      <c r="E102" s="3"/>
      <c r="F102" s="3"/>
      <c r="G102" s="3"/>
      <c r="H102" s="3"/>
      <c r="I102" s="3"/>
      <c r="J102" s="3"/>
      <c r="K102" s="3"/>
      <c r="L102" s="3"/>
      <c r="M102" s="3"/>
      <c r="N102" s="3"/>
      <c r="O102" s="3"/>
      <c r="P102" s="3"/>
      <c r="Q102" s="3" t="s">
        <v>54</v>
      </c>
      <c r="R102" s="3"/>
      <c r="S102" s="3"/>
      <c r="T102" s="3"/>
      <c r="U102" s="3"/>
      <c r="V102" s="3"/>
      <c r="W102" s="3"/>
      <c r="X102" s="3"/>
      <c r="Y102" s="3"/>
      <c r="Z102" s="3"/>
      <c r="AA102" s="3"/>
      <c r="AB102" s="3"/>
      <c r="AC102" s="3"/>
      <c r="AD102" s="3"/>
      <c r="AE102" s="3"/>
      <c r="AF102" s="3"/>
      <c r="AG102" s="3"/>
      <c r="AH102" s="3"/>
      <c r="AI102" s="3"/>
      <c r="AJ102" s="3"/>
      <c r="AK102" s="3"/>
      <c r="AL102" s="3"/>
      <c r="AM102" s="3"/>
      <c r="AN102" s="3"/>
      <c r="AO102" s="3"/>
      <c r="AP102" s="3"/>
      <c r="AQ102" s="3"/>
      <c r="AR102" s="3"/>
      <c r="AS102" s="3"/>
    </row>
    <row r="103" spans="1:45" x14ac:dyDescent="0.25">
      <c r="A103" s="3"/>
      <c r="B103" s="3"/>
      <c r="C103" s="3"/>
      <c r="D103" s="3"/>
      <c r="E103" s="3"/>
      <c r="F103" s="3"/>
      <c r="G103" s="3"/>
      <c r="H103" s="3"/>
      <c r="I103" s="3"/>
      <c r="J103" s="3"/>
      <c r="K103" s="3"/>
      <c r="L103" s="3"/>
      <c r="M103" s="3"/>
      <c r="N103" s="3"/>
      <c r="O103" s="3"/>
      <c r="P103" s="3"/>
      <c r="Q103" s="3" t="s">
        <v>55</v>
      </c>
      <c r="R103" s="3"/>
      <c r="S103" s="3"/>
      <c r="T103" s="3"/>
      <c r="U103" s="3"/>
      <c r="V103" s="3"/>
      <c r="W103" s="3"/>
      <c r="X103" s="3"/>
      <c r="Y103" s="3"/>
      <c r="Z103" s="3"/>
      <c r="AA103" s="3"/>
      <c r="AB103" s="3"/>
      <c r="AC103" s="3"/>
      <c r="AD103" s="3"/>
      <c r="AE103" s="3"/>
      <c r="AF103" s="3"/>
      <c r="AG103" s="3"/>
      <c r="AH103" s="3"/>
      <c r="AI103" s="3"/>
      <c r="AJ103" s="3"/>
      <c r="AK103" s="3"/>
      <c r="AL103" s="3"/>
      <c r="AM103" s="3"/>
      <c r="AN103" s="3"/>
      <c r="AO103" s="3"/>
      <c r="AP103" s="3"/>
      <c r="AQ103" s="3"/>
      <c r="AR103" s="3"/>
      <c r="AS103" s="3"/>
    </row>
    <row r="104" spans="1:45" x14ac:dyDescent="0.25">
      <c r="A104" s="3"/>
      <c r="B104" s="3"/>
      <c r="C104" s="3"/>
      <c r="D104" s="3"/>
      <c r="E104" s="3"/>
      <c r="F104" s="3"/>
      <c r="G104" s="3"/>
      <c r="H104" s="3"/>
      <c r="I104" s="3"/>
      <c r="J104" s="3"/>
      <c r="K104" s="3"/>
      <c r="L104" s="3"/>
      <c r="M104" s="3"/>
      <c r="N104" s="3"/>
      <c r="O104" s="3"/>
      <c r="P104" s="3"/>
      <c r="Q104" s="3" t="s">
        <v>56</v>
      </c>
      <c r="R104" s="3"/>
      <c r="S104" s="3"/>
      <c r="T104" s="3"/>
      <c r="U104" s="3"/>
      <c r="V104" s="3"/>
      <c r="W104" s="3"/>
      <c r="X104" s="3"/>
      <c r="Y104" s="3"/>
      <c r="Z104" s="3"/>
      <c r="AA104" s="3"/>
      <c r="AB104" s="3"/>
      <c r="AC104" s="3"/>
      <c r="AD104" s="3"/>
      <c r="AE104" s="3"/>
      <c r="AF104" s="3"/>
      <c r="AG104" s="3"/>
      <c r="AH104" s="3"/>
      <c r="AI104" s="3"/>
      <c r="AJ104" s="3"/>
      <c r="AK104" s="3"/>
      <c r="AL104" s="3"/>
      <c r="AM104" s="3"/>
      <c r="AN104" s="3"/>
      <c r="AO104" s="3"/>
      <c r="AP104" s="3"/>
      <c r="AQ104" s="3"/>
      <c r="AR104" s="3"/>
      <c r="AS104" s="3"/>
    </row>
    <row r="105" spans="1:45" x14ac:dyDescent="0.25">
      <c r="A105" s="3"/>
      <c r="B105" s="3"/>
      <c r="C105" s="3"/>
      <c r="D105" s="3"/>
      <c r="E105" s="3"/>
      <c r="F105" s="3"/>
      <c r="G105" s="3"/>
      <c r="H105" s="3"/>
      <c r="I105" s="3"/>
      <c r="J105" s="3"/>
      <c r="K105" s="3"/>
      <c r="L105" s="3"/>
      <c r="M105" s="3"/>
      <c r="N105" s="3"/>
      <c r="O105" s="3"/>
      <c r="P105" s="3"/>
      <c r="Q105" s="3" t="s">
        <v>57</v>
      </c>
      <c r="R105" s="3"/>
      <c r="S105" s="3"/>
      <c r="T105" s="3"/>
      <c r="U105" s="3"/>
      <c r="V105" s="3"/>
      <c r="W105" s="3"/>
      <c r="X105" s="3"/>
      <c r="Y105" s="3"/>
      <c r="Z105" s="3"/>
      <c r="AA105" s="3"/>
      <c r="AB105" s="3"/>
      <c r="AC105" s="3"/>
      <c r="AD105" s="3"/>
      <c r="AE105" s="3"/>
      <c r="AF105" s="3"/>
      <c r="AG105" s="3"/>
      <c r="AH105" s="3"/>
      <c r="AI105" s="3"/>
      <c r="AJ105" s="3"/>
      <c r="AK105" s="3"/>
      <c r="AL105" s="3"/>
      <c r="AM105" s="3"/>
      <c r="AN105" s="3"/>
      <c r="AO105" s="3"/>
      <c r="AP105" s="3"/>
      <c r="AQ105" s="3"/>
      <c r="AR105" s="3"/>
      <c r="AS105" s="3"/>
    </row>
    <row r="106" spans="1:45" x14ac:dyDescent="0.25">
      <c r="A106" s="3"/>
      <c r="B106" s="3"/>
      <c r="C106" s="3"/>
      <c r="D106" s="3"/>
      <c r="E106" s="3"/>
      <c r="F106" s="3"/>
      <c r="G106" s="3"/>
      <c r="H106" s="3"/>
      <c r="I106" s="3"/>
      <c r="J106" s="3"/>
      <c r="K106" s="3"/>
      <c r="L106" s="3"/>
      <c r="M106" s="3"/>
      <c r="N106" s="3"/>
      <c r="O106" s="3"/>
      <c r="P106" s="3"/>
      <c r="Q106" s="3" t="s">
        <v>58</v>
      </c>
      <c r="R106" s="3"/>
      <c r="S106" s="3"/>
      <c r="T106" s="3"/>
      <c r="U106" s="3"/>
      <c r="V106" s="3"/>
      <c r="W106" s="3"/>
      <c r="X106" s="3"/>
      <c r="Y106" s="3"/>
      <c r="Z106" s="3"/>
      <c r="AA106" s="3"/>
      <c r="AB106" s="3"/>
      <c r="AC106" s="3"/>
      <c r="AD106" s="3"/>
      <c r="AE106" s="3"/>
      <c r="AF106" s="3"/>
      <c r="AG106" s="3"/>
      <c r="AH106" s="3"/>
      <c r="AI106" s="3"/>
      <c r="AJ106" s="3"/>
      <c r="AK106" s="3"/>
      <c r="AL106" s="3"/>
      <c r="AM106" s="3"/>
      <c r="AN106" s="3"/>
      <c r="AO106" s="3"/>
      <c r="AP106" s="3"/>
      <c r="AQ106" s="3"/>
      <c r="AR106" s="3"/>
      <c r="AS106" s="3"/>
    </row>
    <row r="107" spans="1:45" x14ac:dyDescent="0.25">
      <c r="A107" s="3"/>
      <c r="B107" s="3"/>
      <c r="C107" s="3"/>
      <c r="D107" s="3"/>
      <c r="E107" s="3"/>
      <c r="F107" s="3"/>
      <c r="G107" s="3"/>
      <c r="H107" s="3"/>
      <c r="I107" s="3"/>
      <c r="J107" s="3"/>
      <c r="K107" s="3"/>
      <c r="L107" s="3"/>
      <c r="M107" s="3"/>
      <c r="N107" s="3"/>
      <c r="O107" s="3"/>
      <c r="P107" s="3"/>
      <c r="Q107" s="3" t="s">
        <v>59</v>
      </c>
      <c r="R107" s="3"/>
      <c r="S107" s="3"/>
      <c r="T107" s="3"/>
      <c r="U107" s="3"/>
      <c r="V107" s="3"/>
      <c r="W107" s="3"/>
      <c r="X107" s="3"/>
      <c r="Y107" s="3"/>
      <c r="Z107" s="3"/>
      <c r="AA107" s="3"/>
      <c r="AB107" s="3"/>
      <c r="AC107" s="3"/>
      <c r="AD107" s="3"/>
      <c r="AE107" s="3"/>
      <c r="AF107" s="3"/>
      <c r="AG107" s="3"/>
      <c r="AH107" s="3"/>
      <c r="AI107" s="3"/>
      <c r="AJ107" s="3"/>
      <c r="AK107" s="3"/>
      <c r="AL107" s="3"/>
      <c r="AM107" s="3"/>
      <c r="AN107" s="3"/>
      <c r="AO107" s="3"/>
      <c r="AP107" s="3"/>
      <c r="AQ107" s="3"/>
      <c r="AR107" s="3"/>
      <c r="AS107" s="3"/>
    </row>
    <row r="108" spans="1:45" x14ac:dyDescent="0.25">
      <c r="A108" s="3"/>
      <c r="B108" s="3"/>
      <c r="C108" s="3"/>
      <c r="D108" s="3"/>
      <c r="E108" s="3"/>
      <c r="F108" s="3"/>
      <c r="G108" s="3"/>
      <c r="H108" s="3"/>
      <c r="I108" s="3"/>
      <c r="J108" s="3"/>
      <c r="K108" s="3"/>
      <c r="L108" s="3"/>
      <c r="M108" s="3"/>
      <c r="N108" s="3"/>
      <c r="O108" s="3"/>
      <c r="P108" s="3"/>
      <c r="Q108" s="3" t="s">
        <v>60</v>
      </c>
      <c r="R108" s="3"/>
      <c r="S108" s="3"/>
      <c r="T108" s="3"/>
      <c r="U108" s="3"/>
      <c r="V108" s="3"/>
      <c r="W108" s="3"/>
      <c r="X108" s="3"/>
      <c r="Y108" s="3"/>
      <c r="Z108" s="3"/>
      <c r="AA108" s="3"/>
      <c r="AB108" s="3"/>
      <c r="AC108" s="3"/>
      <c r="AD108" s="3"/>
      <c r="AE108" s="3"/>
      <c r="AF108" s="3"/>
      <c r="AG108" s="3"/>
      <c r="AH108" s="3"/>
      <c r="AI108" s="3"/>
      <c r="AJ108" s="3"/>
      <c r="AK108" s="3"/>
      <c r="AL108" s="3"/>
      <c r="AM108" s="3"/>
      <c r="AN108" s="3"/>
      <c r="AO108" s="3"/>
      <c r="AP108" s="3"/>
      <c r="AQ108" s="3"/>
      <c r="AR108" s="3"/>
      <c r="AS108" s="3"/>
    </row>
    <row r="109" spans="1:45" x14ac:dyDescent="0.25">
      <c r="A109" s="3"/>
      <c r="B109" s="3"/>
      <c r="C109" s="3"/>
      <c r="D109" s="3"/>
      <c r="E109" s="3"/>
      <c r="F109" s="3"/>
      <c r="G109" s="3"/>
      <c r="H109" s="3"/>
      <c r="I109" s="3"/>
      <c r="J109" s="3"/>
      <c r="K109" s="3"/>
      <c r="L109" s="3"/>
      <c r="M109" s="3"/>
      <c r="N109" s="3"/>
      <c r="O109" s="3"/>
      <c r="P109" s="3"/>
      <c r="Q109" s="3" t="s">
        <v>61</v>
      </c>
      <c r="R109" s="3"/>
      <c r="S109" s="3"/>
      <c r="T109" s="3"/>
      <c r="U109" s="3"/>
      <c r="V109" s="3"/>
      <c r="W109" s="3"/>
      <c r="X109" s="3"/>
      <c r="Y109" s="3"/>
      <c r="Z109" s="3"/>
      <c r="AA109" s="3"/>
      <c r="AB109" s="3"/>
      <c r="AC109" s="3"/>
      <c r="AD109" s="3"/>
      <c r="AE109" s="3"/>
      <c r="AF109" s="3"/>
      <c r="AG109" s="3"/>
      <c r="AH109" s="3"/>
      <c r="AI109" s="3"/>
      <c r="AJ109" s="3"/>
      <c r="AK109" s="3"/>
      <c r="AL109" s="3"/>
      <c r="AM109" s="3"/>
      <c r="AN109" s="3"/>
      <c r="AO109" s="3"/>
      <c r="AP109" s="3"/>
      <c r="AQ109" s="3"/>
      <c r="AR109" s="3"/>
      <c r="AS109" s="3"/>
    </row>
    <row r="110" spans="1:45" x14ac:dyDescent="0.25">
      <c r="A110" s="3"/>
      <c r="B110" s="3"/>
      <c r="C110" s="3"/>
      <c r="D110" s="3"/>
      <c r="E110" s="3"/>
      <c r="F110" s="3"/>
      <c r="G110" s="3"/>
      <c r="H110" s="3"/>
      <c r="I110" s="3"/>
      <c r="J110" s="3"/>
      <c r="K110" s="3"/>
      <c r="L110" s="3"/>
      <c r="M110" s="3"/>
      <c r="N110" s="3"/>
      <c r="O110" s="3"/>
      <c r="P110" s="3"/>
      <c r="Q110" s="3" t="s">
        <v>62</v>
      </c>
      <c r="R110" s="3"/>
      <c r="S110" s="3"/>
      <c r="T110" s="3"/>
      <c r="U110" s="3"/>
      <c r="V110" s="3"/>
      <c r="W110" s="3"/>
      <c r="X110" s="3"/>
      <c r="Y110" s="3"/>
      <c r="Z110" s="3"/>
      <c r="AA110" s="3"/>
      <c r="AB110" s="3"/>
      <c r="AC110" s="3"/>
      <c r="AD110" s="3"/>
      <c r="AE110" s="3"/>
      <c r="AF110" s="3"/>
      <c r="AG110" s="3"/>
      <c r="AH110" s="3"/>
      <c r="AI110" s="3"/>
      <c r="AJ110" s="3"/>
      <c r="AK110" s="3"/>
      <c r="AL110" s="3"/>
      <c r="AM110" s="3"/>
      <c r="AN110" s="3"/>
      <c r="AO110" s="3"/>
      <c r="AP110" s="3"/>
      <c r="AQ110" s="3"/>
      <c r="AR110" s="3"/>
      <c r="AS110" s="3"/>
    </row>
    <row r="111" spans="1:45" x14ac:dyDescent="0.25">
      <c r="A111" s="3"/>
      <c r="B111" s="3"/>
      <c r="C111" s="3"/>
      <c r="D111" s="3"/>
      <c r="E111" s="3"/>
      <c r="F111" s="3"/>
      <c r="G111" s="3"/>
      <c r="H111" s="3"/>
      <c r="I111" s="3"/>
      <c r="J111" s="3"/>
      <c r="K111" s="3"/>
      <c r="L111" s="3"/>
      <c r="M111" s="3"/>
      <c r="N111" s="3"/>
      <c r="O111" s="3"/>
      <c r="P111" s="3"/>
      <c r="Q111" s="3" t="s">
        <v>63</v>
      </c>
      <c r="R111" s="3"/>
      <c r="S111" s="3"/>
      <c r="T111" s="3"/>
      <c r="U111" s="3"/>
      <c r="V111" s="3"/>
      <c r="W111" s="3"/>
      <c r="X111" s="3"/>
      <c r="Y111" s="3"/>
      <c r="Z111" s="3"/>
      <c r="AA111" s="3"/>
      <c r="AB111" s="3"/>
      <c r="AC111" s="3"/>
      <c r="AD111" s="3"/>
      <c r="AE111" s="3"/>
      <c r="AF111" s="3"/>
      <c r="AG111" s="3"/>
      <c r="AH111" s="3"/>
      <c r="AI111" s="3"/>
      <c r="AJ111" s="3"/>
      <c r="AK111" s="3"/>
      <c r="AL111" s="3"/>
      <c r="AM111" s="3"/>
      <c r="AN111" s="3"/>
      <c r="AO111" s="3"/>
      <c r="AP111" s="3"/>
      <c r="AQ111" s="3"/>
      <c r="AR111" s="3"/>
      <c r="AS111" s="3"/>
    </row>
    <row r="112" spans="1:45" x14ac:dyDescent="0.25">
      <c r="A112" s="3"/>
      <c r="B112" s="3"/>
      <c r="C112" s="3"/>
      <c r="D112" s="3"/>
      <c r="E112" s="3"/>
      <c r="F112" s="3"/>
      <c r="G112" s="3"/>
      <c r="H112" s="3"/>
      <c r="I112" s="3"/>
      <c r="J112" s="3"/>
      <c r="K112" s="3"/>
      <c r="L112" s="3"/>
      <c r="M112" s="3"/>
      <c r="N112" s="3"/>
      <c r="O112" s="3"/>
      <c r="P112" s="3"/>
      <c r="Q112" s="3" t="s">
        <v>64</v>
      </c>
      <c r="R112" s="3"/>
      <c r="S112" s="3"/>
      <c r="T112" s="3"/>
      <c r="U112" s="3"/>
      <c r="V112" s="3"/>
      <c r="W112" s="3"/>
      <c r="X112" s="3"/>
      <c r="Y112" s="3"/>
      <c r="Z112" s="3"/>
      <c r="AA112" s="3"/>
      <c r="AB112" s="3"/>
      <c r="AC112" s="3"/>
      <c r="AD112" s="3"/>
      <c r="AE112" s="3"/>
      <c r="AF112" s="3"/>
      <c r="AG112" s="3"/>
      <c r="AH112" s="3"/>
      <c r="AI112" s="3"/>
      <c r="AJ112" s="3"/>
      <c r="AK112" s="3"/>
      <c r="AL112" s="3"/>
      <c r="AM112" s="3"/>
      <c r="AN112" s="3"/>
      <c r="AO112" s="3"/>
      <c r="AP112" s="3"/>
      <c r="AQ112" s="3"/>
      <c r="AR112" s="3"/>
      <c r="AS112" s="3"/>
    </row>
    <row r="113" spans="1:45" x14ac:dyDescent="0.25">
      <c r="A113" s="3"/>
      <c r="B113" s="3"/>
      <c r="C113" s="3"/>
      <c r="D113" s="3"/>
      <c r="E113" s="3"/>
      <c r="F113" s="3"/>
      <c r="G113" s="3"/>
      <c r="H113" s="3"/>
      <c r="I113" s="3"/>
      <c r="J113" s="3"/>
      <c r="K113" s="3"/>
      <c r="L113" s="3"/>
      <c r="M113" s="3"/>
      <c r="N113" s="3"/>
      <c r="O113" s="3"/>
      <c r="P113" s="3"/>
      <c r="Q113" s="3" t="s">
        <v>65</v>
      </c>
      <c r="R113" s="3"/>
      <c r="S113" s="3"/>
      <c r="T113" s="3"/>
      <c r="U113" s="3"/>
      <c r="V113" s="3"/>
      <c r="W113" s="3"/>
      <c r="X113" s="3"/>
      <c r="Y113" s="3"/>
      <c r="Z113" s="3"/>
      <c r="AA113" s="3"/>
      <c r="AB113" s="3"/>
      <c r="AC113" s="3"/>
      <c r="AD113" s="3"/>
      <c r="AE113" s="3"/>
      <c r="AF113" s="3"/>
      <c r="AG113" s="3"/>
      <c r="AH113" s="3"/>
      <c r="AI113" s="3"/>
      <c r="AJ113" s="3"/>
      <c r="AK113" s="3"/>
      <c r="AL113" s="3"/>
      <c r="AM113" s="3"/>
      <c r="AN113" s="3"/>
      <c r="AO113" s="3"/>
      <c r="AP113" s="3"/>
      <c r="AQ113" s="3"/>
      <c r="AR113" s="3"/>
      <c r="AS113" s="3"/>
    </row>
    <row r="114" spans="1:45" x14ac:dyDescent="0.25">
      <c r="A114" s="3"/>
      <c r="B114" s="3"/>
      <c r="C114" s="3"/>
      <c r="D114" s="3"/>
      <c r="E114" s="3"/>
      <c r="F114" s="3"/>
      <c r="G114" s="3"/>
      <c r="H114" s="3"/>
      <c r="I114" s="3"/>
      <c r="J114" s="3"/>
      <c r="K114" s="3"/>
      <c r="L114" s="3"/>
      <c r="M114" s="3"/>
      <c r="N114" s="3"/>
      <c r="O114" s="3"/>
      <c r="P114" s="3"/>
      <c r="Q114" s="3" t="s">
        <v>66</v>
      </c>
      <c r="R114" s="3"/>
      <c r="S114" s="3"/>
      <c r="T114" s="3"/>
      <c r="U114" s="3"/>
      <c r="V114" s="3"/>
      <c r="W114" s="3"/>
      <c r="X114" s="3"/>
      <c r="Y114" s="3"/>
      <c r="Z114" s="3"/>
      <c r="AA114" s="3"/>
      <c r="AB114" s="3"/>
      <c r="AC114" s="3"/>
      <c r="AD114" s="3"/>
      <c r="AE114" s="3"/>
      <c r="AF114" s="3"/>
      <c r="AG114" s="3"/>
      <c r="AH114" s="3"/>
      <c r="AI114" s="3"/>
      <c r="AJ114" s="3"/>
      <c r="AK114" s="3"/>
      <c r="AL114" s="3"/>
      <c r="AM114" s="3"/>
      <c r="AN114" s="3"/>
      <c r="AO114" s="3"/>
      <c r="AP114" s="3"/>
      <c r="AQ114" s="3"/>
      <c r="AR114" s="3"/>
      <c r="AS114" s="3"/>
    </row>
    <row r="115" spans="1:45" x14ac:dyDescent="0.25">
      <c r="A115" s="3"/>
      <c r="B115" s="3"/>
      <c r="C115" s="3"/>
      <c r="D115" s="3"/>
      <c r="E115" s="3"/>
      <c r="F115" s="3"/>
      <c r="G115" s="3"/>
      <c r="H115" s="3"/>
      <c r="I115" s="3"/>
      <c r="J115" s="3"/>
      <c r="K115" s="3"/>
      <c r="L115" s="3"/>
      <c r="M115" s="3"/>
      <c r="N115" s="3"/>
      <c r="O115" s="3"/>
      <c r="P115" s="3"/>
      <c r="Q115" s="3" t="s">
        <v>67</v>
      </c>
      <c r="R115" s="3"/>
      <c r="S115" s="3"/>
      <c r="T115" s="3"/>
      <c r="U115" s="3"/>
      <c r="V115" s="3"/>
      <c r="W115" s="3"/>
      <c r="X115" s="3"/>
      <c r="Y115" s="3"/>
      <c r="Z115" s="3"/>
      <c r="AA115" s="3"/>
      <c r="AB115" s="3"/>
      <c r="AC115" s="3"/>
      <c r="AD115" s="3"/>
      <c r="AE115" s="3"/>
      <c r="AF115" s="3"/>
      <c r="AG115" s="3"/>
      <c r="AH115" s="3"/>
      <c r="AI115" s="3"/>
      <c r="AJ115" s="3"/>
      <c r="AK115" s="3"/>
      <c r="AL115" s="3"/>
      <c r="AM115" s="3"/>
      <c r="AN115" s="3"/>
      <c r="AO115" s="3"/>
      <c r="AP115" s="3"/>
      <c r="AQ115" s="3"/>
      <c r="AR115" s="3"/>
      <c r="AS115" s="3"/>
    </row>
    <row r="116" spans="1:45" x14ac:dyDescent="0.25">
      <c r="A116" s="3"/>
      <c r="B116" s="3"/>
      <c r="C116" s="3"/>
      <c r="D116" s="3"/>
      <c r="E116" s="3"/>
      <c r="F116" s="3"/>
      <c r="G116" s="3"/>
      <c r="H116" s="3"/>
      <c r="I116" s="3"/>
      <c r="J116" s="3"/>
      <c r="K116" s="3"/>
      <c r="L116" s="3"/>
      <c r="M116" s="3"/>
      <c r="N116" s="3"/>
      <c r="O116" s="3"/>
      <c r="P116" s="3"/>
      <c r="Q116" s="3" t="s">
        <v>68</v>
      </c>
      <c r="R116" s="3"/>
      <c r="S116" s="3"/>
      <c r="T116" s="3"/>
      <c r="U116" s="3"/>
      <c r="V116" s="3"/>
      <c r="W116" s="3"/>
      <c r="X116" s="3"/>
      <c r="Y116" s="3"/>
      <c r="Z116" s="3"/>
      <c r="AA116" s="3"/>
      <c r="AB116" s="3"/>
      <c r="AC116" s="3"/>
      <c r="AD116" s="3"/>
      <c r="AE116" s="3"/>
      <c r="AF116" s="3"/>
      <c r="AG116" s="3"/>
      <c r="AH116" s="3"/>
      <c r="AI116" s="3"/>
      <c r="AJ116" s="3"/>
      <c r="AK116" s="3"/>
      <c r="AL116" s="3"/>
      <c r="AM116" s="3"/>
      <c r="AN116" s="3"/>
      <c r="AO116" s="3"/>
      <c r="AP116" s="3"/>
      <c r="AQ116" s="3"/>
      <c r="AR116" s="3"/>
      <c r="AS116" s="3"/>
    </row>
    <row r="117" spans="1:45" x14ac:dyDescent="0.25">
      <c r="A117" s="3"/>
      <c r="B117" s="3"/>
      <c r="C117" s="3"/>
      <c r="D117" s="3"/>
      <c r="E117" s="3"/>
      <c r="F117" s="3"/>
      <c r="G117" s="3"/>
      <c r="H117" s="3"/>
      <c r="I117" s="3"/>
      <c r="J117" s="3"/>
      <c r="K117" s="3"/>
      <c r="L117" s="3"/>
      <c r="M117" s="3"/>
      <c r="N117" s="3"/>
      <c r="O117" s="3"/>
      <c r="P117" s="3"/>
      <c r="Q117" s="3" t="s">
        <v>69</v>
      </c>
      <c r="R117" s="3"/>
      <c r="S117" s="3"/>
      <c r="T117" s="3"/>
      <c r="U117" s="3"/>
      <c r="V117" s="3"/>
      <c r="W117" s="3"/>
      <c r="X117" s="3"/>
      <c r="Y117" s="3"/>
      <c r="Z117" s="3"/>
      <c r="AA117" s="3"/>
      <c r="AB117" s="3"/>
      <c r="AC117" s="3"/>
      <c r="AD117" s="3"/>
      <c r="AE117" s="3"/>
      <c r="AF117" s="3"/>
      <c r="AG117" s="3"/>
      <c r="AH117" s="3"/>
      <c r="AI117" s="3"/>
      <c r="AJ117" s="3"/>
      <c r="AK117" s="3"/>
      <c r="AL117" s="3"/>
      <c r="AM117" s="3"/>
      <c r="AN117" s="3"/>
      <c r="AO117" s="3"/>
      <c r="AP117" s="3"/>
      <c r="AQ117" s="3"/>
      <c r="AR117" s="3"/>
      <c r="AS117" s="3"/>
    </row>
    <row r="118" spans="1:45" s="3" customFormat="1" x14ac:dyDescent="0.25">
      <c r="Q118" s="3" t="s">
        <v>70</v>
      </c>
    </row>
    <row r="119" spans="1:45" s="3" customFormat="1" x14ac:dyDescent="0.25">
      <c r="Q119" s="3" t="s">
        <v>71</v>
      </c>
    </row>
    <row r="120" spans="1:45" s="3" customFormat="1" x14ac:dyDescent="0.25">
      <c r="Q120" s="3" t="s">
        <v>72</v>
      </c>
    </row>
    <row r="121" spans="1:45" s="3" customFormat="1" x14ac:dyDescent="0.25">
      <c r="Q121" s="3" t="s">
        <v>73</v>
      </c>
    </row>
    <row r="122" spans="1:45" s="3" customFormat="1" x14ac:dyDescent="0.25">
      <c r="Q122" s="3" t="s">
        <v>74</v>
      </c>
    </row>
    <row r="123" spans="1:45" s="3" customFormat="1" x14ac:dyDescent="0.25">
      <c r="Q123" s="3" t="s">
        <v>75</v>
      </c>
    </row>
    <row r="124" spans="1:45" s="3" customFormat="1" x14ac:dyDescent="0.25">
      <c r="Q124" s="3" t="s">
        <v>76</v>
      </c>
    </row>
    <row r="125" spans="1:45" s="3" customFormat="1" x14ac:dyDescent="0.25">
      <c r="Q125" s="3" t="s">
        <v>77</v>
      </c>
    </row>
    <row r="126" spans="1:45" s="3" customFormat="1" x14ac:dyDescent="0.25">
      <c r="Q126" s="3" t="s">
        <v>78</v>
      </c>
    </row>
    <row r="127" spans="1:45" s="3" customFormat="1" x14ac:dyDescent="0.25">
      <c r="Q127" s="3" t="s">
        <v>79</v>
      </c>
    </row>
    <row r="128" spans="1:45" s="3" customFormat="1" x14ac:dyDescent="0.25">
      <c r="Q128" s="3" t="s">
        <v>80</v>
      </c>
    </row>
    <row r="129" spans="17:17" s="3" customFormat="1" x14ac:dyDescent="0.25">
      <c r="Q129" s="3" t="s">
        <v>81</v>
      </c>
    </row>
    <row r="130" spans="17:17" s="3" customFormat="1" x14ac:dyDescent="0.25">
      <c r="Q130" s="3" t="s">
        <v>82</v>
      </c>
    </row>
    <row r="131" spans="17:17" s="3" customFormat="1" x14ac:dyDescent="0.25">
      <c r="Q131" s="3" t="s">
        <v>83</v>
      </c>
    </row>
    <row r="132" spans="17:17" s="3" customFormat="1" x14ac:dyDescent="0.25">
      <c r="Q132" s="3" t="s">
        <v>84</v>
      </c>
    </row>
    <row r="133" spans="17:17" s="3" customFormat="1" x14ac:dyDescent="0.25">
      <c r="Q133" s="3" t="s">
        <v>85</v>
      </c>
    </row>
    <row r="134" spans="17:17" s="3" customFormat="1" x14ac:dyDescent="0.25">
      <c r="Q134" s="3" t="s">
        <v>86</v>
      </c>
    </row>
    <row r="135" spans="17:17" s="3" customFormat="1" x14ac:dyDescent="0.25">
      <c r="Q135" s="3" t="s">
        <v>87</v>
      </c>
    </row>
    <row r="136" spans="17:17" s="3" customFormat="1" x14ac:dyDescent="0.25">
      <c r="Q136" s="3" t="s">
        <v>88</v>
      </c>
    </row>
    <row r="137" spans="17:17" s="3" customFormat="1" x14ac:dyDescent="0.25">
      <c r="Q137" s="3" t="s">
        <v>89</v>
      </c>
    </row>
    <row r="138" spans="17:17" s="3" customFormat="1" x14ac:dyDescent="0.25">
      <c r="Q138" s="3" t="s">
        <v>90</v>
      </c>
    </row>
    <row r="139" spans="17:17" s="3" customFormat="1" x14ac:dyDescent="0.25">
      <c r="Q139" s="3" t="s">
        <v>91</v>
      </c>
    </row>
    <row r="140" spans="17:17" s="3" customFormat="1" x14ac:dyDescent="0.25">
      <c r="Q140" s="3" t="s">
        <v>92</v>
      </c>
    </row>
    <row r="141" spans="17:17" s="3" customFormat="1" x14ac:dyDescent="0.25">
      <c r="Q141" s="3" t="s">
        <v>93</v>
      </c>
    </row>
    <row r="142" spans="17:17" s="3" customFormat="1" x14ac:dyDescent="0.25">
      <c r="Q142" s="3" t="s">
        <v>94</v>
      </c>
    </row>
    <row r="143" spans="17:17" s="3" customFormat="1" x14ac:dyDescent="0.25">
      <c r="Q143" s="3" t="s">
        <v>95</v>
      </c>
    </row>
    <row r="144" spans="17:17" s="3" customFormat="1" x14ac:dyDescent="0.25">
      <c r="Q144" s="3" t="s">
        <v>96</v>
      </c>
    </row>
    <row r="145" spans="17:17" s="3" customFormat="1" x14ac:dyDescent="0.25">
      <c r="Q145" s="3" t="s">
        <v>97</v>
      </c>
    </row>
    <row r="146" spans="17:17" s="3" customFormat="1" x14ac:dyDescent="0.25">
      <c r="Q146" s="3" t="s">
        <v>98</v>
      </c>
    </row>
    <row r="147" spans="17:17" s="3" customFormat="1" x14ac:dyDescent="0.25">
      <c r="Q147" s="3" t="s">
        <v>99</v>
      </c>
    </row>
    <row r="148" spans="17:17" s="3" customFormat="1" x14ac:dyDescent="0.25">
      <c r="Q148" s="3" t="s">
        <v>100</v>
      </c>
    </row>
    <row r="149" spans="17:17" s="3" customFormat="1" x14ac:dyDescent="0.25">
      <c r="Q149" s="3" t="s">
        <v>101</v>
      </c>
    </row>
    <row r="150" spans="17:17" s="3" customFormat="1" x14ac:dyDescent="0.25">
      <c r="Q150" s="3" t="s">
        <v>102</v>
      </c>
    </row>
    <row r="151" spans="17:17" s="3" customFormat="1" x14ac:dyDescent="0.25">
      <c r="Q151" s="3" t="s">
        <v>103</v>
      </c>
    </row>
    <row r="152" spans="17:17" s="3" customFormat="1" x14ac:dyDescent="0.25">
      <c r="Q152" s="3" t="s">
        <v>104</v>
      </c>
    </row>
    <row r="153" spans="17:17" s="3" customFormat="1" x14ac:dyDescent="0.25">
      <c r="Q153" s="3" t="s">
        <v>105</v>
      </c>
    </row>
    <row r="154" spans="17:17" s="3" customFormat="1" x14ac:dyDescent="0.25">
      <c r="Q154" s="3" t="s">
        <v>106</v>
      </c>
    </row>
    <row r="155" spans="17:17" s="3" customFormat="1" x14ac:dyDescent="0.25">
      <c r="Q155" s="3" t="s">
        <v>107</v>
      </c>
    </row>
    <row r="156" spans="17:17" s="3" customFormat="1" x14ac:dyDescent="0.25">
      <c r="Q156" s="3" t="s">
        <v>108</v>
      </c>
    </row>
    <row r="157" spans="17:17" s="3" customFormat="1" x14ac:dyDescent="0.25">
      <c r="Q157" s="3" t="s">
        <v>109</v>
      </c>
    </row>
    <row r="158" spans="17:17" s="3" customFormat="1" x14ac:dyDescent="0.25">
      <c r="Q158" s="3" t="s">
        <v>110</v>
      </c>
    </row>
    <row r="159" spans="17:17" s="3" customFormat="1" x14ac:dyDescent="0.25">
      <c r="Q159" s="3" t="s">
        <v>111</v>
      </c>
    </row>
    <row r="160" spans="17:17" s="3" customFormat="1" x14ac:dyDescent="0.25">
      <c r="Q160" s="3" t="s">
        <v>112</v>
      </c>
    </row>
    <row r="161" spans="17:17" s="3" customFormat="1" x14ac:dyDescent="0.25">
      <c r="Q161" s="3" t="s">
        <v>113</v>
      </c>
    </row>
    <row r="162" spans="17:17" s="3" customFormat="1" x14ac:dyDescent="0.25">
      <c r="Q162" s="3" t="s">
        <v>114</v>
      </c>
    </row>
    <row r="163" spans="17:17" s="3" customFormat="1" x14ac:dyDescent="0.25">
      <c r="Q163" s="3" t="s">
        <v>115</v>
      </c>
    </row>
    <row r="164" spans="17:17" s="3" customFormat="1" x14ac:dyDescent="0.25">
      <c r="Q164" s="3" t="s">
        <v>116</v>
      </c>
    </row>
    <row r="165" spans="17:17" s="3" customFormat="1" x14ac:dyDescent="0.25">
      <c r="Q165" s="3" t="s">
        <v>117</v>
      </c>
    </row>
    <row r="166" spans="17:17" s="3" customFormat="1" x14ac:dyDescent="0.25">
      <c r="Q166" s="3" t="s">
        <v>118</v>
      </c>
    </row>
    <row r="167" spans="17:17" s="3" customFormat="1" x14ac:dyDescent="0.25">
      <c r="Q167" s="3" t="s">
        <v>119</v>
      </c>
    </row>
    <row r="168" spans="17:17" s="3" customFormat="1" x14ac:dyDescent="0.25">
      <c r="Q168" s="3" t="s">
        <v>120</v>
      </c>
    </row>
    <row r="169" spans="17:17" s="3" customFormat="1" x14ac:dyDescent="0.25">
      <c r="Q169" s="3" t="s">
        <v>121</v>
      </c>
    </row>
    <row r="170" spans="17:17" s="3" customFormat="1" x14ac:dyDescent="0.25">
      <c r="Q170" s="3" t="s">
        <v>122</v>
      </c>
    </row>
    <row r="171" spans="17:17" s="3" customFormat="1" x14ac:dyDescent="0.25">
      <c r="Q171" s="3" t="s">
        <v>123</v>
      </c>
    </row>
    <row r="172" spans="17:17" s="3" customFormat="1" x14ac:dyDescent="0.25">
      <c r="Q172" s="3" t="s">
        <v>124</v>
      </c>
    </row>
    <row r="173" spans="17:17" s="3" customFormat="1" x14ac:dyDescent="0.25">
      <c r="Q173" s="3" t="s">
        <v>125</v>
      </c>
    </row>
    <row r="174" spans="17:17" s="3" customFormat="1" x14ac:dyDescent="0.25">
      <c r="Q174" s="3" t="s">
        <v>126</v>
      </c>
    </row>
    <row r="175" spans="17:17" s="3" customFormat="1" x14ac:dyDescent="0.25">
      <c r="Q175" s="3" t="s">
        <v>127</v>
      </c>
    </row>
    <row r="176" spans="17:17" s="3" customFormat="1" x14ac:dyDescent="0.25">
      <c r="Q176" s="3" t="s">
        <v>128</v>
      </c>
    </row>
    <row r="177" spans="17:17" s="3" customFormat="1" x14ac:dyDescent="0.25">
      <c r="Q177" s="3" t="s">
        <v>129</v>
      </c>
    </row>
    <row r="178" spans="17:17" s="3" customFormat="1" x14ac:dyDescent="0.25">
      <c r="Q178" s="3" t="s">
        <v>130</v>
      </c>
    </row>
    <row r="179" spans="17:17" s="3" customFormat="1" x14ac:dyDescent="0.25">
      <c r="Q179" s="3" t="s">
        <v>131</v>
      </c>
    </row>
    <row r="180" spans="17:17" s="3" customFormat="1" x14ac:dyDescent="0.25">
      <c r="Q180" s="3" t="s">
        <v>132</v>
      </c>
    </row>
    <row r="181" spans="17:17" s="3" customFormat="1" x14ac:dyDescent="0.25">
      <c r="Q181" s="3" t="s">
        <v>133</v>
      </c>
    </row>
    <row r="182" spans="17:17" s="3" customFormat="1" x14ac:dyDescent="0.25">
      <c r="Q182" s="3" t="s">
        <v>134</v>
      </c>
    </row>
    <row r="183" spans="17:17" s="3" customFormat="1" x14ac:dyDescent="0.25">
      <c r="Q183" s="3" t="s">
        <v>135</v>
      </c>
    </row>
    <row r="184" spans="17:17" s="3" customFormat="1" x14ac:dyDescent="0.25">
      <c r="Q184" s="3" t="s">
        <v>136</v>
      </c>
    </row>
    <row r="185" spans="17:17" s="3" customFormat="1" x14ac:dyDescent="0.25">
      <c r="Q185" s="3" t="s">
        <v>137</v>
      </c>
    </row>
    <row r="186" spans="17:17" s="3" customFormat="1" x14ac:dyDescent="0.25">
      <c r="Q186" s="3" t="s">
        <v>138</v>
      </c>
    </row>
    <row r="187" spans="17:17" s="3" customFormat="1" x14ac:dyDescent="0.25">
      <c r="Q187" s="3" t="s">
        <v>139</v>
      </c>
    </row>
    <row r="188" spans="17:17" s="3" customFormat="1" x14ac:dyDescent="0.25">
      <c r="Q188" s="3" t="s">
        <v>140</v>
      </c>
    </row>
    <row r="189" spans="17:17" s="3" customFormat="1" x14ac:dyDescent="0.25">
      <c r="Q189" s="3" t="s">
        <v>141</v>
      </c>
    </row>
    <row r="190" spans="17:17" s="3" customFormat="1" x14ac:dyDescent="0.25">
      <c r="Q190" s="3" t="s">
        <v>142</v>
      </c>
    </row>
    <row r="191" spans="17:17" s="3" customFormat="1" x14ac:dyDescent="0.25">
      <c r="Q191" s="3" t="s">
        <v>143</v>
      </c>
    </row>
    <row r="192" spans="17:17" s="3" customFormat="1" x14ac:dyDescent="0.25">
      <c r="Q192" s="3" t="s">
        <v>144</v>
      </c>
    </row>
    <row r="193" spans="17:17" s="3" customFormat="1" x14ac:dyDescent="0.25">
      <c r="Q193" s="3" t="s">
        <v>145</v>
      </c>
    </row>
    <row r="194" spans="17:17" s="3" customFormat="1" x14ac:dyDescent="0.25">
      <c r="Q194" s="3" t="s">
        <v>146</v>
      </c>
    </row>
    <row r="195" spans="17:17" s="3" customFormat="1" x14ac:dyDescent="0.25">
      <c r="Q195" s="3" t="s">
        <v>147</v>
      </c>
    </row>
    <row r="196" spans="17:17" s="3" customFormat="1" x14ac:dyDescent="0.25">
      <c r="Q196" s="3" t="s">
        <v>148</v>
      </c>
    </row>
    <row r="197" spans="17:17" s="3" customFormat="1" x14ac:dyDescent="0.25">
      <c r="Q197" s="3" t="s">
        <v>149</v>
      </c>
    </row>
    <row r="198" spans="17:17" s="3" customFormat="1" x14ac:dyDescent="0.25">
      <c r="Q198" s="3" t="s">
        <v>150</v>
      </c>
    </row>
    <row r="199" spans="17:17" s="3" customFormat="1" x14ac:dyDescent="0.25">
      <c r="Q199" s="3" t="s">
        <v>151</v>
      </c>
    </row>
    <row r="200" spans="17:17" s="3" customFormat="1" x14ac:dyDescent="0.25">
      <c r="Q200" s="3" t="s">
        <v>152</v>
      </c>
    </row>
    <row r="201" spans="17:17" s="3" customFormat="1" x14ac:dyDescent="0.25">
      <c r="Q201" s="3" t="s">
        <v>153</v>
      </c>
    </row>
    <row r="202" spans="17:17" s="3" customFormat="1" x14ac:dyDescent="0.25">
      <c r="Q202" s="3" t="s">
        <v>154</v>
      </c>
    </row>
    <row r="203" spans="17:17" s="3" customFormat="1" x14ac:dyDescent="0.25">
      <c r="Q203" s="3" t="s">
        <v>155</v>
      </c>
    </row>
    <row r="204" spans="17:17" s="3" customFormat="1" x14ac:dyDescent="0.25">
      <c r="Q204" s="3" t="s">
        <v>156</v>
      </c>
    </row>
    <row r="205" spans="17:17" s="3" customFormat="1" x14ac:dyDescent="0.25">
      <c r="Q205" s="3" t="s">
        <v>157</v>
      </c>
    </row>
    <row r="206" spans="17:17" s="3" customFormat="1" x14ac:dyDescent="0.25">
      <c r="Q206" s="3" t="s">
        <v>158</v>
      </c>
    </row>
    <row r="207" spans="17:17" s="3" customFormat="1" x14ac:dyDescent="0.25">
      <c r="Q207" s="3" t="s">
        <v>159</v>
      </c>
    </row>
    <row r="208" spans="17:17" s="3" customFormat="1" x14ac:dyDescent="0.25">
      <c r="Q208" s="3" t="s">
        <v>160</v>
      </c>
    </row>
    <row r="209" spans="17:17" s="3" customFormat="1" x14ac:dyDescent="0.25">
      <c r="Q209" s="3" t="s">
        <v>161</v>
      </c>
    </row>
    <row r="210" spans="17:17" s="3" customFormat="1" x14ac:dyDescent="0.25">
      <c r="Q210" s="3" t="s">
        <v>162</v>
      </c>
    </row>
    <row r="211" spans="17:17" s="3" customFormat="1" x14ac:dyDescent="0.25">
      <c r="Q211" s="3" t="s">
        <v>163</v>
      </c>
    </row>
    <row r="212" spans="17:17" s="3" customFormat="1" x14ac:dyDescent="0.25">
      <c r="Q212" s="3" t="s">
        <v>164</v>
      </c>
    </row>
    <row r="213" spans="17:17" s="3" customFormat="1" x14ac:dyDescent="0.25">
      <c r="Q213" s="3" t="s">
        <v>165</v>
      </c>
    </row>
    <row r="214" spans="17:17" s="3" customFormat="1" x14ac:dyDescent="0.25">
      <c r="Q214" s="3" t="s">
        <v>166</v>
      </c>
    </row>
    <row r="215" spans="17:17" s="3" customFormat="1" x14ac:dyDescent="0.25">
      <c r="Q215" s="3" t="s">
        <v>167</v>
      </c>
    </row>
    <row r="216" spans="17:17" s="3" customFormat="1" x14ac:dyDescent="0.25">
      <c r="Q216" s="3" t="s">
        <v>168</v>
      </c>
    </row>
    <row r="217" spans="17:17" s="3" customFormat="1" x14ac:dyDescent="0.25">
      <c r="Q217" s="3" t="s">
        <v>169</v>
      </c>
    </row>
    <row r="218" spans="17:17" s="3" customFormat="1" x14ac:dyDescent="0.25">
      <c r="Q218" s="3" t="s">
        <v>170</v>
      </c>
    </row>
    <row r="219" spans="17:17" s="3" customFormat="1" x14ac:dyDescent="0.25">
      <c r="Q219" s="3" t="s">
        <v>171</v>
      </c>
    </row>
    <row r="220" spans="17:17" s="3" customFormat="1" x14ac:dyDescent="0.25">
      <c r="Q220" s="3" t="s">
        <v>172</v>
      </c>
    </row>
    <row r="221" spans="17:17" s="3" customFormat="1" x14ac:dyDescent="0.25">
      <c r="Q221" s="3" t="s">
        <v>173</v>
      </c>
    </row>
    <row r="222" spans="17:17" s="3" customFormat="1" x14ac:dyDescent="0.25">
      <c r="Q222" s="3" t="s">
        <v>174</v>
      </c>
    </row>
    <row r="223" spans="17:17" s="3" customFormat="1" x14ac:dyDescent="0.25">
      <c r="Q223" s="3" t="s">
        <v>175</v>
      </c>
    </row>
    <row r="224" spans="17:17" s="3" customFormat="1" x14ac:dyDescent="0.25">
      <c r="Q224" s="3" t="s">
        <v>176</v>
      </c>
    </row>
    <row r="225" spans="17:17" s="3" customFormat="1" x14ac:dyDescent="0.25">
      <c r="Q225" s="3" t="s">
        <v>177</v>
      </c>
    </row>
    <row r="226" spans="17:17" s="3" customFormat="1" x14ac:dyDescent="0.25">
      <c r="Q226" s="3" t="s">
        <v>178</v>
      </c>
    </row>
    <row r="227" spans="17:17" s="3" customFormat="1" x14ac:dyDescent="0.25">
      <c r="Q227" s="3" t="s">
        <v>179</v>
      </c>
    </row>
    <row r="228" spans="17:17" s="3" customFormat="1" x14ac:dyDescent="0.25">
      <c r="Q228" s="3" t="s">
        <v>180</v>
      </c>
    </row>
    <row r="229" spans="17:17" s="3" customFormat="1" x14ac:dyDescent="0.25"/>
    <row r="230" spans="17:17" s="3" customFormat="1" x14ac:dyDescent="0.25"/>
    <row r="231" spans="17:17" s="3" customFormat="1" x14ac:dyDescent="0.25"/>
    <row r="232" spans="17:17" s="3" customFormat="1" x14ac:dyDescent="0.25"/>
    <row r="233" spans="17:17" s="3" customFormat="1" x14ac:dyDescent="0.25"/>
    <row r="234" spans="17:17" s="3" customFormat="1" x14ac:dyDescent="0.25"/>
    <row r="235" spans="17:17" s="3" customFormat="1" x14ac:dyDescent="0.25"/>
    <row r="236" spans="17:17" s="3" customFormat="1" x14ac:dyDescent="0.25"/>
    <row r="237" spans="17:17" s="3" customFormat="1" x14ac:dyDescent="0.25"/>
    <row r="238" spans="17:17" s="3" customFormat="1" x14ac:dyDescent="0.25"/>
    <row r="239" spans="17:17" s="3" customFormat="1" x14ac:dyDescent="0.25"/>
    <row r="240" spans="17:17" s="3" customFormat="1" x14ac:dyDescent="0.25"/>
    <row r="241" s="3" customFormat="1" x14ac:dyDescent="0.25"/>
    <row r="242" s="3" customFormat="1" x14ac:dyDescent="0.25"/>
    <row r="243" s="3" customFormat="1" x14ac:dyDescent="0.25"/>
    <row r="244" s="3" customFormat="1" x14ac:dyDescent="0.25"/>
    <row r="245" s="3" customFormat="1" x14ac:dyDescent="0.25"/>
    <row r="246" s="3" customFormat="1" x14ac:dyDescent="0.25"/>
    <row r="247" s="3" customFormat="1" x14ac:dyDescent="0.25"/>
    <row r="248" s="3" customFormat="1" x14ac:dyDescent="0.25"/>
    <row r="249" s="3" customFormat="1" x14ac:dyDescent="0.25"/>
    <row r="250" s="3" customFormat="1" x14ac:dyDescent="0.25"/>
    <row r="251" s="3" customFormat="1" x14ac:dyDescent="0.25"/>
    <row r="252" s="3" customFormat="1" x14ac:dyDescent="0.25"/>
    <row r="253" s="3" customFormat="1" x14ac:dyDescent="0.25"/>
    <row r="254" s="3" customFormat="1" x14ac:dyDescent="0.25"/>
    <row r="255" s="3" customFormat="1" x14ac:dyDescent="0.25"/>
    <row r="256" s="3" customFormat="1" x14ac:dyDescent="0.25"/>
    <row r="257" s="3" customFormat="1" x14ac:dyDescent="0.25"/>
    <row r="258" s="3" customFormat="1" x14ac:dyDescent="0.25"/>
    <row r="259" s="3" customFormat="1" x14ac:dyDescent="0.25"/>
    <row r="260" s="3" customFormat="1" x14ac:dyDescent="0.25"/>
    <row r="261" s="3" customFormat="1" x14ac:dyDescent="0.25"/>
    <row r="262" s="3" customFormat="1" x14ac:dyDescent="0.25"/>
    <row r="263" s="3" customFormat="1" x14ac:dyDescent="0.25"/>
    <row r="264" s="3" customFormat="1" x14ac:dyDescent="0.25"/>
    <row r="265" s="3" customFormat="1" x14ac:dyDescent="0.25"/>
    <row r="266" s="3" customFormat="1" x14ac:dyDescent="0.25"/>
    <row r="267" s="3" customFormat="1" x14ac:dyDescent="0.25"/>
    <row r="268" s="3" customFormat="1" x14ac:dyDescent="0.25"/>
    <row r="269" s="3" customFormat="1" x14ac:dyDescent="0.25"/>
    <row r="270" s="3" customFormat="1" x14ac:dyDescent="0.25"/>
    <row r="271" s="3" customFormat="1" x14ac:dyDescent="0.25"/>
    <row r="272" s="3" customFormat="1" x14ac:dyDescent="0.25"/>
    <row r="273" s="3" customFormat="1" x14ac:dyDescent="0.25"/>
    <row r="274" s="3" customFormat="1" x14ac:dyDescent="0.25"/>
    <row r="275" s="3" customFormat="1" x14ac:dyDescent="0.25"/>
    <row r="276" s="3" customFormat="1" x14ac:dyDescent="0.25"/>
    <row r="277" s="3" customFormat="1" x14ac:dyDescent="0.25"/>
    <row r="278" s="3" customFormat="1" x14ac:dyDescent="0.25"/>
    <row r="279" s="3" customFormat="1" x14ac:dyDescent="0.25"/>
    <row r="280" s="3" customFormat="1" x14ac:dyDescent="0.25"/>
    <row r="281" s="3" customFormat="1" x14ac:dyDescent="0.25"/>
    <row r="282" s="3" customFormat="1" x14ac:dyDescent="0.25"/>
    <row r="283" s="3" customFormat="1" x14ac:dyDescent="0.25"/>
    <row r="284" s="3" customFormat="1" x14ac:dyDescent="0.25"/>
    <row r="285" s="3" customFormat="1" x14ac:dyDescent="0.25"/>
    <row r="286" s="3" customFormat="1" x14ac:dyDescent="0.25"/>
    <row r="287" s="3" customFormat="1" x14ac:dyDescent="0.25"/>
    <row r="288" s="3" customFormat="1" x14ac:dyDescent="0.25"/>
    <row r="289" s="3" customFormat="1" x14ac:dyDescent="0.25"/>
    <row r="290" s="3" customFormat="1" x14ac:dyDescent="0.25"/>
    <row r="291" s="3" customFormat="1" x14ac:dyDescent="0.25"/>
    <row r="292" s="3" customFormat="1" x14ac:dyDescent="0.25"/>
    <row r="293" s="3" customFormat="1" x14ac:dyDescent="0.25"/>
    <row r="294" s="3" customFormat="1" x14ac:dyDescent="0.25"/>
    <row r="295" s="3" customFormat="1" x14ac:dyDescent="0.25"/>
    <row r="296" s="3" customFormat="1" x14ac:dyDescent="0.25"/>
    <row r="297" s="3" customFormat="1" x14ac:dyDescent="0.25"/>
    <row r="298" s="3" customFormat="1" x14ac:dyDescent="0.25"/>
    <row r="299" s="3" customFormat="1" x14ac:dyDescent="0.25"/>
    <row r="300" s="3" customFormat="1" x14ac:dyDescent="0.25"/>
    <row r="301" s="3" customFormat="1" x14ac:dyDescent="0.25"/>
    <row r="302" s="3" customFormat="1" x14ac:dyDescent="0.25"/>
    <row r="303" s="3" customFormat="1" x14ac:dyDescent="0.25"/>
    <row r="304" s="3" customFormat="1" x14ac:dyDescent="0.25"/>
    <row r="305" s="3" customFormat="1" x14ac:dyDescent="0.25"/>
    <row r="306" s="3" customFormat="1" x14ac:dyDescent="0.25"/>
    <row r="307" s="3" customFormat="1" x14ac:dyDescent="0.25"/>
    <row r="308" s="3" customFormat="1" x14ac:dyDescent="0.25"/>
    <row r="309" s="3" customFormat="1" x14ac:dyDescent="0.25"/>
    <row r="310" s="3" customFormat="1" x14ac:dyDescent="0.25"/>
    <row r="311" s="3" customFormat="1" x14ac:dyDescent="0.25"/>
    <row r="312" s="3" customFormat="1" x14ac:dyDescent="0.25"/>
    <row r="313" s="3" customFormat="1" x14ac:dyDescent="0.25"/>
    <row r="314" s="3" customFormat="1" x14ac:dyDescent="0.25"/>
    <row r="315" s="3" customFormat="1" x14ac:dyDescent="0.25"/>
    <row r="316" s="3" customFormat="1" x14ac:dyDescent="0.25"/>
    <row r="317" s="3" customFormat="1" x14ac:dyDescent="0.25"/>
    <row r="318" s="3" customFormat="1" x14ac:dyDescent="0.25"/>
    <row r="319" s="3" customFormat="1" x14ac:dyDescent="0.25"/>
    <row r="320" s="3" customFormat="1" x14ac:dyDescent="0.25"/>
    <row r="321" s="3" customFormat="1" x14ac:dyDescent="0.25"/>
    <row r="322" s="3" customFormat="1" x14ac:dyDescent="0.25"/>
    <row r="323" s="3" customFormat="1" x14ac:dyDescent="0.25"/>
    <row r="324" s="3" customFormat="1" x14ac:dyDescent="0.25"/>
    <row r="325" s="3" customFormat="1" x14ac:dyDescent="0.25"/>
    <row r="326" s="3" customFormat="1" x14ac:dyDescent="0.25"/>
    <row r="327" s="3" customFormat="1" x14ac:dyDescent="0.25"/>
    <row r="328" s="3" customFormat="1" x14ac:dyDescent="0.25"/>
    <row r="329" s="3" customFormat="1" x14ac:dyDescent="0.25"/>
    <row r="330" s="3" customFormat="1" x14ac:dyDescent="0.25"/>
    <row r="331" s="3" customFormat="1" x14ac:dyDescent="0.25"/>
    <row r="332" s="3" customFormat="1" x14ac:dyDescent="0.25"/>
    <row r="333" s="3" customFormat="1" x14ac:dyDescent="0.25"/>
    <row r="334" s="3" customFormat="1" x14ac:dyDescent="0.25"/>
    <row r="335" s="3" customFormat="1" x14ac:dyDescent="0.25"/>
    <row r="336" s="3" customFormat="1" x14ac:dyDescent="0.25"/>
    <row r="337" s="3" customFormat="1" x14ac:dyDescent="0.25"/>
    <row r="338" s="3" customFormat="1" x14ac:dyDescent="0.25"/>
    <row r="339" s="3" customFormat="1" x14ac:dyDescent="0.25"/>
    <row r="340" s="3" customFormat="1" x14ac:dyDescent="0.25"/>
    <row r="341" s="3" customFormat="1" x14ac:dyDescent="0.25"/>
    <row r="342" s="3" customFormat="1" x14ac:dyDescent="0.25"/>
    <row r="343" s="3" customFormat="1" x14ac:dyDescent="0.25"/>
    <row r="344" s="3" customFormat="1" x14ac:dyDescent="0.25"/>
    <row r="345" s="3" customFormat="1" x14ac:dyDescent="0.25"/>
    <row r="346" s="3" customFormat="1" x14ac:dyDescent="0.25"/>
    <row r="347" s="3" customFormat="1" x14ac:dyDescent="0.25"/>
    <row r="348" s="3" customFormat="1" x14ac:dyDescent="0.25"/>
    <row r="349" s="3" customFormat="1" x14ac:dyDescent="0.25"/>
    <row r="350" s="3" customFormat="1" x14ac:dyDescent="0.25"/>
    <row r="351" s="3" customFormat="1" x14ac:dyDescent="0.25"/>
    <row r="352" s="3" customFormat="1" x14ac:dyDescent="0.25"/>
    <row r="353" s="3" customFormat="1" x14ac:dyDescent="0.25"/>
    <row r="354" s="3" customFormat="1" x14ac:dyDescent="0.25"/>
    <row r="355" s="3" customFormat="1" x14ac:dyDescent="0.25"/>
    <row r="356" s="3" customFormat="1" x14ac:dyDescent="0.25"/>
    <row r="357" s="3" customFormat="1" x14ac:dyDescent="0.25"/>
    <row r="358" s="3" customFormat="1" x14ac:dyDescent="0.25"/>
    <row r="359" s="3" customFormat="1" x14ac:dyDescent="0.25"/>
    <row r="360" s="3" customFormat="1" x14ac:dyDescent="0.25"/>
    <row r="361" s="3" customFormat="1" x14ac:dyDescent="0.25"/>
    <row r="362" s="3" customFormat="1" x14ac:dyDescent="0.25"/>
    <row r="363" s="3" customFormat="1" x14ac:dyDescent="0.25"/>
    <row r="364" s="3" customFormat="1" x14ac:dyDescent="0.25"/>
    <row r="365" s="3" customFormat="1" x14ac:dyDescent="0.25"/>
    <row r="366" s="3" customFormat="1" x14ac:dyDescent="0.25"/>
    <row r="367" s="3" customFormat="1" x14ac:dyDescent="0.25"/>
    <row r="368" s="3" customFormat="1" x14ac:dyDescent="0.25"/>
    <row r="369" s="3" customFormat="1" x14ac:dyDescent="0.25"/>
    <row r="370" s="3" customFormat="1" x14ac:dyDescent="0.25"/>
    <row r="371" s="3" customFormat="1" x14ac:dyDescent="0.25"/>
    <row r="372" s="3" customFormat="1" x14ac:dyDescent="0.25"/>
    <row r="373" s="3" customFormat="1" x14ac:dyDescent="0.25"/>
    <row r="374" s="3" customFormat="1" x14ac:dyDescent="0.25"/>
    <row r="375" s="3" customFormat="1" x14ac:dyDescent="0.25"/>
    <row r="376" s="3" customFormat="1" x14ac:dyDescent="0.25"/>
    <row r="377" s="3" customFormat="1" x14ac:dyDescent="0.25"/>
    <row r="378" s="3" customFormat="1" x14ac:dyDescent="0.25"/>
    <row r="379" s="3" customFormat="1" x14ac:dyDescent="0.25"/>
    <row r="380" s="3" customFormat="1" x14ac:dyDescent="0.25"/>
    <row r="381" s="3" customFormat="1" x14ac:dyDescent="0.25"/>
    <row r="382" s="3" customFormat="1" x14ac:dyDescent="0.25"/>
    <row r="383" s="3" customFormat="1" x14ac:dyDescent="0.25"/>
    <row r="384" s="3" customFormat="1" x14ac:dyDescent="0.25"/>
    <row r="385" s="3" customFormat="1" x14ac:dyDescent="0.25"/>
    <row r="386" s="3" customFormat="1" x14ac:dyDescent="0.25"/>
    <row r="387" s="3" customFormat="1" x14ac:dyDescent="0.25"/>
    <row r="388" s="3" customFormat="1" x14ac:dyDescent="0.25"/>
    <row r="389" s="3" customFormat="1" x14ac:dyDescent="0.25"/>
    <row r="390" s="3" customFormat="1" x14ac:dyDescent="0.25"/>
    <row r="391" s="3" customFormat="1" x14ac:dyDescent="0.25"/>
    <row r="392" s="3" customFormat="1" x14ac:dyDescent="0.25"/>
    <row r="393" s="3" customFormat="1" x14ac:dyDescent="0.25"/>
    <row r="394" s="3" customFormat="1" x14ac:dyDescent="0.25"/>
    <row r="395" s="3" customFormat="1" x14ac:dyDescent="0.25"/>
    <row r="396" s="3" customFormat="1" x14ac:dyDescent="0.25"/>
    <row r="397" s="3" customFormat="1" x14ac:dyDescent="0.25"/>
    <row r="398" s="3" customFormat="1" x14ac:dyDescent="0.25"/>
    <row r="399" s="3" customFormat="1" x14ac:dyDescent="0.25"/>
    <row r="400" s="3" customFormat="1" x14ac:dyDescent="0.25"/>
    <row r="401" s="3" customFormat="1" x14ac:dyDescent="0.25"/>
    <row r="402" s="3" customFormat="1" x14ac:dyDescent="0.25"/>
    <row r="403" s="3" customFormat="1" x14ac:dyDescent="0.25"/>
    <row r="404" s="3" customFormat="1" x14ac:dyDescent="0.25"/>
    <row r="405" s="3" customFormat="1" x14ac:dyDescent="0.25"/>
    <row r="406" s="3" customFormat="1" x14ac:dyDescent="0.25"/>
    <row r="407" s="3" customFormat="1" x14ac:dyDescent="0.25"/>
    <row r="408" s="3" customFormat="1" x14ac:dyDescent="0.25"/>
    <row r="409" s="3" customFormat="1" x14ac:dyDescent="0.25"/>
    <row r="410" s="3" customFormat="1" x14ac:dyDescent="0.25"/>
    <row r="411" s="3" customFormat="1" x14ac:dyDescent="0.25"/>
    <row r="412" s="3" customFormat="1" x14ac:dyDescent="0.25"/>
    <row r="413" s="3" customFormat="1" x14ac:dyDescent="0.25"/>
    <row r="414" s="3" customFormat="1" x14ac:dyDescent="0.25"/>
    <row r="415" s="3" customFormat="1" x14ac:dyDescent="0.25"/>
    <row r="416" s="3" customFormat="1" x14ac:dyDescent="0.25"/>
    <row r="417" s="3" customFormat="1" x14ac:dyDescent="0.25"/>
    <row r="418" s="3" customFormat="1" x14ac:dyDescent="0.25"/>
    <row r="419" s="3" customFormat="1" x14ac:dyDescent="0.25"/>
    <row r="420" s="3" customFormat="1" x14ac:dyDescent="0.25"/>
    <row r="421" s="3" customFormat="1" x14ac:dyDescent="0.25"/>
    <row r="422" s="3" customFormat="1" x14ac:dyDescent="0.25"/>
    <row r="423" s="3" customFormat="1" x14ac:dyDescent="0.25"/>
    <row r="424" s="3" customFormat="1" x14ac:dyDescent="0.25"/>
    <row r="425" s="3" customFormat="1" x14ac:dyDescent="0.25"/>
    <row r="426" s="3" customFormat="1" x14ac:dyDescent="0.25"/>
    <row r="427" s="3" customFormat="1" x14ac:dyDescent="0.25"/>
    <row r="428" s="3" customFormat="1" x14ac:dyDescent="0.25"/>
    <row r="429" s="3" customFormat="1" x14ac:dyDescent="0.25"/>
    <row r="430" s="3" customFormat="1" x14ac:dyDescent="0.25"/>
    <row r="431" s="3" customFormat="1" x14ac:dyDescent="0.25"/>
    <row r="432" s="3" customFormat="1" x14ac:dyDescent="0.25"/>
    <row r="433" s="3" customFormat="1" x14ac:dyDescent="0.25"/>
    <row r="434" s="3" customFormat="1" x14ac:dyDescent="0.25"/>
    <row r="435" s="3" customFormat="1" x14ac:dyDescent="0.25"/>
    <row r="436" s="3" customFormat="1" x14ac:dyDescent="0.25"/>
    <row r="437" s="3" customFormat="1" x14ac:dyDescent="0.25"/>
    <row r="438" s="3" customFormat="1" x14ac:dyDescent="0.25"/>
    <row r="439" s="3" customFormat="1" x14ac:dyDescent="0.25"/>
    <row r="440" s="3" customFormat="1" x14ac:dyDescent="0.25"/>
    <row r="441" s="3" customFormat="1" x14ac:dyDescent="0.25"/>
    <row r="442" s="3" customFormat="1" x14ac:dyDescent="0.25"/>
    <row r="443" s="3" customFormat="1" x14ac:dyDescent="0.25"/>
    <row r="444" s="3" customFormat="1" x14ac:dyDescent="0.25"/>
    <row r="445" s="3" customFormat="1" x14ac:dyDescent="0.25"/>
    <row r="446" s="3" customFormat="1" x14ac:dyDescent="0.25"/>
    <row r="447" s="3" customFormat="1" x14ac:dyDescent="0.25"/>
    <row r="448" s="3" customFormat="1" x14ac:dyDescent="0.25"/>
    <row r="449" s="3" customFormat="1" x14ac:dyDescent="0.25"/>
    <row r="450" s="3" customFormat="1" x14ac:dyDescent="0.25"/>
    <row r="451" s="3" customFormat="1" x14ac:dyDescent="0.25"/>
    <row r="452" s="3" customFormat="1" x14ac:dyDescent="0.25"/>
    <row r="453" s="3" customFormat="1" x14ac:dyDescent="0.25"/>
    <row r="454" s="3" customFormat="1" x14ac:dyDescent="0.25"/>
    <row r="455" s="3" customFormat="1" x14ac:dyDescent="0.25"/>
    <row r="456" s="3" customFormat="1" x14ac:dyDescent="0.25"/>
    <row r="457" s="3" customFormat="1" x14ac:dyDescent="0.25"/>
    <row r="458" s="3" customFormat="1" x14ac:dyDescent="0.25"/>
    <row r="459" s="3" customFormat="1" x14ac:dyDescent="0.25"/>
    <row r="460" s="3" customFormat="1" x14ac:dyDescent="0.25"/>
    <row r="461" s="3" customFormat="1" x14ac:dyDescent="0.25"/>
    <row r="462" s="3" customFormat="1" x14ac:dyDescent="0.25"/>
    <row r="463" s="3" customFormat="1" x14ac:dyDescent="0.25"/>
    <row r="464" s="3" customFormat="1" x14ac:dyDescent="0.25"/>
    <row r="465" s="3" customFormat="1" x14ac:dyDescent="0.25"/>
    <row r="466" s="3" customFormat="1" x14ac:dyDescent="0.25"/>
    <row r="467" s="3" customFormat="1" x14ac:dyDescent="0.25"/>
    <row r="468" s="3" customFormat="1" x14ac:dyDescent="0.25"/>
    <row r="469" s="3" customFormat="1" x14ac:dyDescent="0.25"/>
    <row r="470" s="3" customFormat="1" x14ac:dyDescent="0.25"/>
    <row r="471" s="3" customFormat="1" x14ac:dyDescent="0.25"/>
    <row r="472" s="3" customFormat="1" x14ac:dyDescent="0.25"/>
    <row r="473" s="3" customFormat="1" x14ac:dyDescent="0.25"/>
    <row r="474" s="3" customFormat="1" x14ac:dyDescent="0.25"/>
    <row r="475" s="3" customFormat="1" x14ac:dyDescent="0.25"/>
    <row r="476" s="3" customFormat="1" x14ac:dyDescent="0.25"/>
    <row r="477" s="3" customFormat="1" x14ac:dyDescent="0.25"/>
    <row r="478" s="3" customFormat="1" x14ac:dyDescent="0.25"/>
    <row r="479" s="3" customFormat="1" x14ac:dyDescent="0.25"/>
    <row r="480" s="3" customFormat="1" x14ac:dyDescent="0.25"/>
    <row r="481" s="3" customFormat="1" x14ac:dyDescent="0.25"/>
    <row r="482" s="3" customFormat="1" x14ac:dyDescent="0.25"/>
    <row r="483" s="3" customFormat="1" x14ac:dyDescent="0.25"/>
    <row r="484" s="3" customFormat="1" x14ac:dyDescent="0.25"/>
    <row r="485" s="3" customFormat="1" x14ac:dyDescent="0.25"/>
    <row r="486" s="3" customFormat="1" x14ac:dyDescent="0.25"/>
    <row r="487" s="3" customFormat="1" x14ac:dyDescent="0.25"/>
    <row r="488" s="3" customFormat="1" x14ac:dyDescent="0.25"/>
    <row r="489" s="3" customFormat="1" x14ac:dyDescent="0.25"/>
    <row r="490" s="3" customFormat="1" x14ac:dyDescent="0.25"/>
    <row r="491" s="3" customFormat="1" x14ac:dyDescent="0.25"/>
    <row r="492" s="3" customFormat="1" x14ac:dyDescent="0.25"/>
    <row r="493" s="3" customFormat="1" x14ac:dyDescent="0.25"/>
    <row r="494" s="3" customFormat="1" x14ac:dyDescent="0.25"/>
    <row r="495" s="3" customFormat="1" x14ac:dyDescent="0.25"/>
    <row r="496" s="3" customFormat="1" x14ac:dyDescent="0.25"/>
    <row r="497" s="3" customFormat="1" x14ac:dyDescent="0.25"/>
    <row r="498" s="3" customFormat="1" x14ac:dyDescent="0.25"/>
    <row r="499" s="3" customFormat="1" x14ac:dyDescent="0.25"/>
    <row r="500" s="3" customFormat="1" x14ac:dyDescent="0.25"/>
    <row r="501" s="3" customFormat="1" x14ac:dyDescent="0.25"/>
    <row r="502" s="3" customFormat="1" x14ac:dyDescent="0.25"/>
    <row r="503" s="3" customFormat="1" x14ac:dyDescent="0.25"/>
    <row r="504" s="3" customFormat="1" x14ac:dyDescent="0.25"/>
    <row r="505" s="3" customFormat="1" x14ac:dyDescent="0.25"/>
    <row r="506" s="3" customFormat="1" x14ac:dyDescent="0.25"/>
    <row r="507" s="3" customFormat="1" x14ac:dyDescent="0.25"/>
    <row r="508" s="3" customFormat="1" x14ac:dyDescent="0.25"/>
    <row r="509" s="3" customFormat="1" x14ac:dyDescent="0.25"/>
    <row r="510" s="3" customFormat="1" x14ac:dyDescent="0.25"/>
    <row r="511" s="3" customFormat="1" x14ac:dyDescent="0.25"/>
    <row r="512" s="3" customFormat="1" x14ac:dyDescent="0.25"/>
    <row r="513" s="3" customFormat="1" x14ac:dyDescent="0.25"/>
    <row r="514" s="3" customFormat="1" x14ac:dyDescent="0.25"/>
    <row r="515" s="3" customFormat="1" x14ac:dyDescent="0.25"/>
    <row r="516" s="3" customFormat="1" x14ac:dyDescent="0.25"/>
    <row r="517" s="3" customFormat="1" x14ac:dyDescent="0.25"/>
    <row r="518" s="3" customFormat="1" x14ac:dyDescent="0.25"/>
    <row r="519" s="3" customFormat="1" x14ac:dyDescent="0.25"/>
    <row r="520" s="3" customFormat="1" x14ac:dyDescent="0.25"/>
    <row r="521" s="3" customFormat="1" x14ac:dyDescent="0.25"/>
    <row r="522" s="3" customFormat="1" x14ac:dyDescent="0.25"/>
    <row r="523" s="3" customFormat="1" x14ac:dyDescent="0.25"/>
    <row r="524" s="3" customFormat="1" x14ac:dyDescent="0.25"/>
    <row r="525" s="3" customFormat="1" x14ac:dyDescent="0.25"/>
    <row r="526" s="3" customFormat="1" x14ac:dyDescent="0.25"/>
    <row r="527" s="3" customFormat="1" x14ac:dyDescent="0.25"/>
    <row r="528" s="3" customFormat="1" x14ac:dyDescent="0.25"/>
    <row r="529" s="3" customFormat="1" x14ac:dyDescent="0.25"/>
    <row r="530" s="3" customFormat="1" x14ac:dyDescent="0.25"/>
    <row r="531" s="3" customFormat="1" x14ac:dyDescent="0.25"/>
    <row r="532" s="3" customFormat="1" x14ac:dyDescent="0.25"/>
    <row r="533" s="3" customFormat="1" x14ac:dyDescent="0.25"/>
    <row r="534" s="3" customFormat="1" x14ac:dyDescent="0.25"/>
    <row r="535" s="3" customFormat="1" x14ac:dyDescent="0.25"/>
    <row r="536" s="3" customFormat="1" x14ac:dyDescent="0.25"/>
    <row r="537" s="3" customFormat="1" x14ac:dyDescent="0.25"/>
    <row r="538" s="3" customFormat="1" x14ac:dyDescent="0.25"/>
    <row r="539" s="3" customFormat="1" x14ac:dyDescent="0.25"/>
    <row r="540" s="3" customFormat="1" x14ac:dyDescent="0.25"/>
    <row r="541" s="3" customFormat="1" x14ac:dyDescent="0.25"/>
    <row r="542" s="3" customFormat="1" x14ac:dyDescent="0.25"/>
    <row r="543" s="3" customFormat="1" x14ac:dyDescent="0.25"/>
    <row r="544" s="3" customFormat="1" x14ac:dyDescent="0.25"/>
    <row r="545" s="3" customFormat="1" x14ac:dyDescent="0.25"/>
    <row r="546" s="3" customFormat="1" x14ac:dyDescent="0.25"/>
    <row r="547" s="3" customFormat="1" x14ac:dyDescent="0.25"/>
    <row r="548" s="3" customFormat="1" x14ac:dyDescent="0.25"/>
    <row r="549" s="3" customFormat="1" x14ac:dyDescent="0.25"/>
    <row r="550" s="3" customFormat="1" x14ac:dyDescent="0.25"/>
    <row r="551" s="3" customFormat="1" x14ac:dyDescent="0.25"/>
    <row r="552" s="3" customFormat="1" x14ac:dyDescent="0.25"/>
    <row r="553" s="3" customFormat="1" x14ac:dyDescent="0.25"/>
    <row r="554" s="3" customFormat="1" x14ac:dyDescent="0.25"/>
    <row r="555" s="3" customFormat="1" x14ac:dyDescent="0.25"/>
    <row r="556" s="3" customFormat="1" x14ac:dyDescent="0.25"/>
    <row r="557" s="3" customFormat="1" x14ac:dyDescent="0.25"/>
    <row r="558" s="3" customFormat="1" x14ac:dyDescent="0.25"/>
    <row r="559" s="3" customFormat="1" x14ac:dyDescent="0.25"/>
    <row r="560" s="3" customFormat="1" x14ac:dyDescent="0.25"/>
    <row r="561" s="3" customFormat="1" x14ac:dyDescent="0.25"/>
    <row r="562" s="3" customFormat="1" x14ac:dyDescent="0.25"/>
    <row r="563" s="3" customFormat="1" x14ac:dyDescent="0.25"/>
    <row r="564" s="3" customFormat="1" x14ac:dyDescent="0.25"/>
    <row r="565" s="3" customFormat="1" x14ac:dyDescent="0.25"/>
    <row r="566" s="3" customFormat="1" x14ac:dyDescent="0.25"/>
    <row r="567" s="3" customFormat="1" x14ac:dyDescent="0.25"/>
    <row r="568" s="3" customFormat="1" x14ac:dyDescent="0.25"/>
    <row r="569" s="3" customFormat="1" x14ac:dyDescent="0.25"/>
    <row r="570" s="3" customFormat="1" x14ac:dyDescent="0.25"/>
    <row r="571" s="3" customFormat="1" x14ac:dyDescent="0.25"/>
    <row r="572" s="3" customFormat="1" x14ac:dyDescent="0.25"/>
    <row r="573" s="3" customFormat="1" x14ac:dyDescent="0.25"/>
    <row r="574" s="3" customFormat="1" x14ac:dyDescent="0.25"/>
    <row r="575" s="3" customFormat="1" x14ac:dyDescent="0.25"/>
    <row r="576" s="3" customFormat="1" x14ac:dyDescent="0.25"/>
    <row r="577" s="3" customFormat="1" x14ac:dyDescent="0.25"/>
    <row r="578" s="3" customFormat="1" x14ac:dyDescent="0.25"/>
    <row r="579" s="3" customFormat="1" x14ac:dyDescent="0.25"/>
    <row r="580" s="3" customFormat="1" x14ac:dyDescent="0.25"/>
    <row r="581" s="3" customFormat="1" x14ac:dyDescent="0.25"/>
    <row r="582" s="3" customFormat="1" x14ac:dyDescent="0.25"/>
    <row r="583" s="3" customFormat="1" x14ac:dyDescent="0.25"/>
    <row r="584" s="3" customFormat="1" x14ac:dyDescent="0.25"/>
    <row r="585" s="3" customFormat="1" x14ac:dyDescent="0.25"/>
    <row r="586" s="3" customFormat="1" x14ac:dyDescent="0.25"/>
    <row r="587" s="3" customFormat="1" x14ac:dyDescent="0.25"/>
    <row r="588" s="3" customFormat="1" x14ac:dyDescent="0.25"/>
    <row r="589" s="3" customFormat="1" x14ac:dyDescent="0.25"/>
    <row r="590" s="3" customFormat="1" x14ac:dyDescent="0.25"/>
    <row r="591" s="3" customFormat="1" x14ac:dyDescent="0.25"/>
    <row r="592" s="3" customFormat="1" x14ac:dyDescent="0.25"/>
    <row r="593" s="3" customFormat="1" x14ac:dyDescent="0.25"/>
    <row r="594" s="3" customFormat="1" x14ac:dyDescent="0.25"/>
    <row r="595" s="3" customFormat="1" x14ac:dyDescent="0.25"/>
    <row r="596" s="3" customFormat="1" x14ac:dyDescent="0.25"/>
    <row r="597" s="3" customFormat="1" x14ac:dyDescent="0.25"/>
    <row r="598" s="3" customFormat="1" x14ac:dyDescent="0.25"/>
    <row r="599" s="3" customFormat="1" x14ac:dyDescent="0.25"/>
    <row r="600" s="3" customFormat="1" x14ac:dyDescent="0.25"/>
    <row r="601" s="3" customFormat="1" x14ac:dyDescent="0.25"/>
    <row r="602" s="3" customFormat="1" x14ac:dyDescent="0.25"/>
    <row r="603" s="3" customFormat="1" x14ac:dyDescent="0.25"/>
    <row r="604" s="3" customFormat="1" x14ac:dyDescent="0.25"/>
    <row r="605" s="3" customFormat="1" x14ac:dyDescent="0.25"/>
    <row r="606" s="3" customFormat="1" x14ac:dyDescent="0.25"/>
    <row r="607" s="3" customFormat="1" x14ac:dyDescent="0.25"/>
    <row r="608" s="3" customFormat="1" x14ac:dyDescent="0.25"/>
    <row r="609" s="3" customFormat="1" x14ac:dyDescent="0.25"/>
    <row r="610" s="3" customFormat="1" x14ac:dyDescent="0.25"/>
    <row r="611" s="3" customFormat="1" x14ac:dyDescent="0.25"/>
    <row r="612" s="3" customFormat="1" x14ac:dyDescent="0.25"/>
    <row r="613" s="3" customFormat="1" x14ac:dyDescent="0.25"/>
    <row r="614" s="3" customFormat="1" x14ac:dyDescent="0.25"/>
    <row r="615" s="3" customFormat="1" x14ac:dyDescent="0.25"/>
    <row r="616" s="3" customFormat="1" x14ac:dyDescent="0.25"/>
    <row r="617" s="3" customFormat="1" x14ac:dyDescent="0.25"/>
    <row r="618" s="3" customFormat="1" x14ac:dyDescent="0.25"/>
    <row r="619" s="3" customFormat="1" x14ac:dyDescent="0.25"/>
    <row r="620" s="3" customFormat="1" x14ac:dyDescent="0.25"/>
    <row r="621" s="3" customFormat="1" x14ac:dyDescent="0.25"/>
    <row r="622" s="3" customFormat="1" x14ac:dyDescent="0.25"/>
    <row r="623" s="3" customFormat="1" x14ac:dyDescent="0.25"/>
    <row r="624" s="3" customFormat="1" x14ac:dyDescent="0.25"/>
    <row r="625" s="3" customFormat="1" x14ac:dyDescent="0.25"/>
    <row r="626" s="3" customFormat="1" x14ac:dyDescent="0.25"/>
    <row r="627" s="3" customFormat="1" x14ac:dyDescent="0.25"/>
    <row r="628" s="3" customFormat="1" x14ac:dyDescent="0.25"/>
    <row r="629" s="3" customFormat="1" x14ac:dyDescent="0.25"/>
    <row r="630" s="3" customFormat="1" x14ac:dyDescent="0.25"/>
    <row r="631" s="3" customFormat="1" x14ac:dyDescent="0.25"/>
    <row r="632" s="3" customFormat="1" x14ac:dyDescent="0.25"/>
    <row r="633" s="3" customFormat="1" x14ac:dyDescent="0.25"/>
    <row r="634" s="3" customFormat="1" x14ac:dyDescent="0.25"/>
    <row r="635" s="3" customFormat="1" x14ac:dyDescent="0.25"/>
    <row r="636" s="3" customFormat="1" x14ac:dyDescent="0.25"/>
    <row r="637" s="3" customFormat="1" x14ac:dyDescent="0.25"/>
    <row r="638" s="3" customFormat="1" x14ac:dyDescent="0.25"/>
    <row r="639" s="3" customFormat="1" x14ac:dyDescent="0.25"/>
    <row r="640" s="3" customFormat="1" x14ac:dyDescent="0.25"/>
    <row r="641" s="3" customFormat="1" x14ac:dyDescent="0.25"/>
    <row r="642" s="3" customFormat="1" x14ac:dyDescent="0.25"/>
    <row r="643" s="3" customFormat="1" x14ac:dyDescent="0.25"/>
    <row r="644" s="3" customFormat="1" x14ac:dyDescent="0.25"/>
    <row r="645" s="3" customFormat="1" x14ac:dyDescent="0.25"/>
    <row r="646" s="3" customFormat="1" x14ac:dyDescent="0.25"/>
    <row r="647" s="3" customFormat="1" x14ac:dyDescent="0.25"/>
    <row r="648" s="3" customFormat="1" x14ac:dyDescent="0.25"/>
    <row r="649" s="3" customFormat="1" x14ac:dyDescent="0.25"/>
    <row r="650" s="3" customFormat="1" x14ac:dyDescent="0.25"/>
    <row r="651" s="3" customFormat="1" x14ac:dyDescent="0.25"/>
    <row r="652" s="3" customFormat="1" x14ac:dyDescent="0.25"/>
    <row r="653" s="3" customFormat="1" x14ac:dyDescent="0.25"/>
    <row r="654" s="3" customFormat="1" x14ac:dyDescent="0.25"/>
    <row r="655" s="3" customFormat="1" x14ac:dyDescent="0.25"/>
    <row r="656" s="3" customFormat="1" x14ac:dyDescent="0.25"/>
    <row r="657" s="3" customFormat="1" x14ac:dyDescent="0.25"/>
    <row r="658" s="3" customFormat="1" x14ac:dyDescent="0.25"/>
    <row r="659" s="3" customFormat="1" x14ac:dyDescent="0.25"/>
    <row r="660" s="3" customFormat="1" x14ac:dyDescent="0.25"/>
    <row r="661" s="3" customFormat="1" x14ac:dyDescent="0.25"/>
    <row r="662" s="3" customFormat="1" x14ac:dyDescent="0.25"/>
    <row r="663" s="3" customFormat="1" x14ac:dyDescent="0.25"/>
    <row r="664" s="3" customFormat="1" x14ac:dyDescent="0.25"/>
    <row r="665" s="3" customFormat="1" x14ac:dyDescent="0.25"/>
    <row r="666" s="3" customFormat="1" x14ac:dyDescent="0.25"/>
    <row r="667" s="3" customFormat="1" x14ac:dyDescent="0.25"/>
    <row r="668" s="3" customFormat="1" x14ac:dyDescent="0.25"/>
    <row r="669" s="3" customFormat="1" x14ac:dyDescent="0.25"/>
    <row r="670" s="3" customFormat="1" x14ac:dyDescent="0.25"/>
    <row r="671" s="3" customFormat="1" x14ac:dyDescent="0.25"/>
    <row r="672" s="3" customFormat="1" x14ac:dyDescent="0.25"/>
    <row r="673" s="3" customFormat="1" x14ac:dyDescent="0.25"/>
    <row r="674" s="3" customFormat="1" x14ac:dyDescent="0.25"/>
    <row r="675" s="3" customFormat="1" x14ac:dyDescent="0.25"/>
    <row r="676" s="3" customFormat="1" x14ac:dyDescent="0.25"/>
    <row r="677" s="3" customFormat="1" x14ac:dyDescent="0.25"/>
    <row r="678" s="3" customFormat="1" x14ac:dyDescent="0.25"/>
    <row r="679" s="3" customFormat="1" x14ac:dyDescent="0.25"/>
    <row r="680" s="3" customFormat="1" x14ac:dyDescent="0.25"/>
    <row r="681" s="3" customFormat="1" x14ac:dyDescent="0.25"/>
    <row r="682" s="3" customFormat="1" x14ac:dyDescent="0.25"/>
    <row r="683" s="3" customFormat="1" x14ac:dyDescent="0.25"/>
    <row r="684" s="3" customFormat="1" x14ac:dyDescent="0.25"/>
    <row r="685" s="3" customFormat="1" x14ac:dyDescent="0.25"/>
    <row r="686" s="3" customFormat="1" x14ac:dyDescent="0.25"/>
    <row r="687" s="3" customFormat="1" x14ac:dyDescent="0.25"/>
    <row r="688" s="3" customFormat="1" x14ac:dyDescent="0.25"/>
    <row r="689" s="3" customFormat="1" x14ac:dyDescent="0.25"/>
    <row r="690" s="3" customFormat="1" x14ac:dyDescent="0.25"/>
    <row r="691" s="3" customFormat="1" x14ac:dyDescent="0.25"/>
    <row r="692" s="3" customFormat="1" x14ac:dyDescent="0.25"/>
    <row r="693" s="3" customFormat="1" x14ac:dyDescent="0.25"/>
    <row r="694" s="3" customFormat="1" x14ac:dyDescent="0.25"/>
    <row r="695" s="3" customFormat="1" x14ac:dyDescent="0.25"/>
    <row r="696" s="3" customFormat="1" x14ac:dyDescent="0.25"/>
    <row r="697" s="3" customFormat="1" x14ac:dyDescent="0.25"/>
    <row r="698" s="3" customFormat="1" x14ac:dyDescent="0.25"/>
    <row r="699" s="3" customFormat="1" x14ac:dyDescent="0.25"/>
    <row r="700" s="3" customFormat="1" x14ac:dyDescent="0.25"/>
    <row r="701" s="3" customFormat="1" x14ac:dyDescent="0.25"/>
    <row r="702" s="3" customFormat="1" x14ac:dyDescent="0.25"/>
    <row r="703" s="3" customFormat="1" x14ac:dyDescent="0.25"/>
    <row r="704" s="3" customFormat="1" x14ac:dyDescent="0.25"/>
    <row r="705" s="3" customFormat="1" x14ac:dyDescent="0.25"/>
    <row r="706" s="3" customFormat="1" x14ac:dyDescent="0.25"/>
    <row r="707" s="3" customFormat="1" x14ac:dyDescent="0.25"/>
    <row r="708" s="3" customFormat="1" x14ac:dyDescent="0.25"/>
    <row r="709" s="3" customFormat="1" x14ac:dyDescent="0.25"/>
    <row r="710" s="3" customFormat="1" x14ac:dyDescent="0.25"/>
    <row r="711" s="3" customFormat="1" x14ac:dyDescent="0.25"/>
    <row r="712" s="3" customFormat="1" x14ac:dyDescent="0.25"/>
    <row r="713" s="3" customFormat="1" x14ac:dyDescent="0.25"/>
    <row r="714" s="3" customFormat="1" x14ac:dyDescent="0.25"/>
    <row r="715" s="3" customFormat="1" x14ac:dyDescent="0.25"/>
    <row r="716" s="3" customFormat="1" x14ac:dyDescent="0.25"/>
    <row r="717" s="3" customFormat="1" x14ac:dyDescent="0.25"/>
    <row r="718" s="3" customFormat="1" x14ac:dyDescent="0.25"/>
    <row r="719" s="3" customFormat="1" x14ac:dyDescent="0.25"/>
    <row r="720" s="3" customFormat="1" x14ac:dyDescent="0.25"/>
    <row r="721" s="3" customFormat="1" x14ac:dyDescent="0.25"/>
    <row r="722" s="3" customFormat="1" x14ac:dyDescent="0.25"/>
    <row r="723" s="3" customFormat="1" x14ac:dyDescent="0.25"/>
    <row r="724" s="3" customFormat="1" x14ac:dyDescent="0.25"/>
    <row r="725" s="3" customFormat="1" x14ac:dyDescent="0.25"/>
    <row r="726" s="3" customFormat="1" x14ac:dyDescent="0.25"/>
    <row r="727" s="3" customFormat="1" x14ac:dyDescent="0.25"/>
    <row r="728" s="3" customFormat="1" x14ac:dyDescent="0.25"/>
    <row r="729" s="3" customFormat="1" x14ac:dyDescent="0.25"/>
    <row r="730" s="3" customFormat="1" x14ac:dyDescent="0.25"/>
    <row r="731" s="3" customFormat="1" x14ac:dyDescent="0.25"/>
    <row r="732" s="3" customFormat="1" x14ac:dyDescent="0.25"/>
    <row r="733" s="3" customFormat="1" x14ac:dyDescent="0.25"/>
    <row r="734" s="3" customFormat="1" x14ac:dyDescent="0.25"/>
    <row r="735" s="3" customFormat="1" x14ac:dyDescent="0.25"/>
    <row r="736" s="3" customFormat="1" x14ac:dyDescent="0.25"/>
    <row r="737" s="3" customFormat="1" x14ac:dyDescent="0.25"/>
    <row r="738" s="3" customFormat="1" x14ac:dyDescent="0.25"/>
    <row r="739" s="3" customFormat="1" x14ac:dyDescent="0.25"/>
    <row r="740" s="3" customFormat="1" x14ac:dyDescent="0.25"/>
    <row r="741" s="3" customFormat="1" x14ac:dyDescent="0.25"/>
    <row r="742" s="3" customFormat="1" x14ac:dyDescent="0.25"/>
    <row r="743" s="3" customFormat="1" x14ac:dyDescent="0.25"/>
    <row r="744" s="3" customFormat="1" x14ac:dyDescent="0.25"/>
    <row r="745" s="3" customFormat="1" x14ac:dyDescent="0.25"/>
    <row r="746" s="3" customFormat="1" x14ac:dyDescent="0.25"/>
    <row r="747" s="3" customFormat="1" x14ac:dyDescent="0.25"/>
    <row r="748" s="3" customFormat="1" x14ac:dyDescent="0.25"/>
    <row r="749" s="3" customFormat="1" x14ac:dyDescent="0.25"/>
    <row r="750" s="3" customFormat="1" x14ac:dyDescent="0.25"/>
    <row r="751" s="3" customFormat="1" x14ac:dyDescent="0.25"/>
    <row r="752" s="3" customFormat="1" x14ac:dyDescent="0.25"/>
    <row r="753" s="3" customFormat="1" x14ac:dyDescent="0.25"/>
    <row r="754" s="3" customFormat="1" x14ac:dyDescent="0.25"/>
    <row r="755" s="3" customFormat="1" x14ac:dyDescent="0.25"/>
    <row r="756" s="3" customFormat="1" x14ac:dyDescent="0.25"/>
    <row r="757" s="3" customFormat="1" x14ac:dyDescent="0.25"/>
    <row r="758" s="3" customFormat="1" x14ac:dyDescent="0.25"/>
    <row r="759" s="3" customFormat="1" x14ac:dyDescent="0.25"/>
    <row r="760" s="3" customFormat="1" x14ac:dyDescent="0.25"/>
    <row r="761" s="3" customFormat="1" x14ac:dyDescent="0.25"/>
    <row r="762" s="3" customFormat="1" x14ac:dyDescent="0.25"/>
    <row r="763" s="3" customFormat="1" x14ac:dyDescent="0.25"/>
    <row r="764" s="3" customFormat="1" x14ac:dyDescent="0.25"/>
    <row r="765" s="3" customFormat="1" x14ac:dyDescent="0.25"/>
    <row r="766" s="3" customFormat="1" x14ac:dyDescent="0.25"/>
    <row r="767" s="3" customFormat="1" x14ac:dyDescent="0.25"/>
    <row r="768" s="3" customFormat="1" x14ac:dyDescent="0.25"/>
    <row r="769" s="3" customFormat="1" x14ac:dyDescent="0.25"/>
    <row r="770" s="3" customFormat="1" x14ac:dyDescent="0.25"/>
    <row r="771" s="3" customFormat="1" x14ac:dyDescent="0.25"/>
    <row r="772" s="3" customFormat="1" x14ac:dyDescent="0.25"/>
    <row r="773" s="3" customFormat="1" x14ac:dyDescent="0.25"/>
    <row r="774" s="3" customFormat="1" x14ac:dyDescent="0.25"/>
    <row r="775" s="3" customFormat="1" x14ac:dyDescent="0.25"/>
    <row r="776" s="3" customFormat="1" x14ac:dyDescent="0.25"/>
    <row r="777" s="3" customFormat="1" x14ac:dyDescent="0.25"/>
    <row r="778" s="3" customFormat="1" x14ac:dyDescent="0.25"/>
    <row r="779" s="3" customFormat="1" x14ac:dyDescent="0.25"/>
    <row r="780" s="3" customFormat="1" x14ac:dyDescent="0.25"/>
    <row r="781" s="3" customFormat="1" x14ac:dyDescent="0.25"/>
    <row r="782" s="3" customFormat="1" x14ac:dyDescent="0.25"/>
    <row r="783" s="3" customFormat="1" x14ac:dyDescent="0.25"/>
    <row r="784" s="3" customFormat="1" x14ac:dyDescent="0.25"/>
    <row r="785" s="3" customFormat="1" x14ac:dyDescent="0.25"/>
    <row r="786" s="3" customFormat="1" x14ac:dyDescent="0.25"/>
    <row r="787" s="3" customFormat="1" x14ac:dyDescent="0.25"/>
    <row r="788" s="3" customFormat="1" x14ac:dyDescent="0.25"/>
    <row r="789" s="3" customFormat="1" x14ac:dyDescent="0.25"/>
    <row r="790" s="3" customFormat="1" x14ac:dyDescent="0.25"/>
    <row r="791" s="3" customFormat="1" x14ac:dyDescent="0.25"/>
    <row r="792" s="3" customFormat="1" x14ac:dyDescent="0.25"/>
    <row r="793" s="3" customFormat="1" x14ac:dyDescent="0.25"/>
    <row r="794" s="3" customFormat="1" x14ac:dyDescent="0.25"/>
    <row r="795" s="3" customFormat="1" x14ac:dyDescent="0.25"/>
    <row r="796" s="3" customFormat="1" x14ac:dyDescent="0.25"/>
    <row r="797" s="3" customFormat="1" x14ac:dyDescent="0.25"/>
    <row r="798" s="3" customFormat="1" x14ac:dyDescent="0.25"/>
    <row r="799" s="3" customFormat="1" x14ac:dyDescent="0.25"/>
    <row r="800" s="3" customFormat="1" x14ac:dyDescent="0.25"/>
    <row r="801" s="3" customFormat="1" x14ac:dyDescent="0.25"/>
    <row r="802" s="3" customFormat="1" x14ac:dyDescent="0.25"/>
    <row r="803" s="3" customFormat="1" x14ac:dyDescent="0.25"/>
    <row r="804" s="3" customFormat="1" x14ac:dyDescent="0.25"/>
    <row r="805" s="3" customFormat="1" x14ac:dyDescent="0.25"/>
    <row r="806" s="3" customFormat="1" x14ac:dyDescent="0.25"/>
    <row r="807" s="3" customFormat="1" x14ac:dyDescent="0.25"/>
    <row r="808" s="3" customFormat="1" x14ac:dyDescent="0.25"/>
    <row r="809" s="3" customFormat="1" x14ac:dyDescent="0.25"/>
    <row r="810" s="3" customFormat="1" x14ac:dyDescent="0.25"/>
    <row r="811" s="3" customFormat="1" x14ac:dyDescent="0.25"/>
    <row r="812" s="3" customFormat="1" x14ac:dyDescent="0.25"/>
    <row r="813" s="3" customFormat="1" x14ac:dyDescent="0.25"/>
    <row r="814" s="3" customFormat="1" x14ac:dyDescent="0.25"/>
    <row r="815" s="3" customFormat="1" x14ac:dyDescent="0.25"/>
    <row r="816" s="3" customFormat="1" x14ac:dyDescent="0.25"/>
    <row r="817" s="3" customFormat="1" x14ac:dyDescent="0.25"/>
    <row r="818" s="3" customFormat="1" x14ac:dyDescent="0.25"/>
    <row r="819" s="3" customFormat="1" x14ac:dyDescent="0.25"/>
    <row r="820" s="3" customFormat="1" x14ac:dyDescent="0.25"/>
    <row r="821" s="3" customFormat="1" x14ac:dyDescent="0.25"/>
    <row r="822" s="3" customFormat="1" x14ac:dyDescent="0.25"/>
    <row r="823" s="3" customFormat="1" x14ac:dyDescent="0.25"/>
    <row r="824" s="3" customFormat="1" x14ac:dyDescent="0.25"/>
    <row r="825" s="3" customFormat="1" x14ac:dyDescent="0.25"/>
    <row r="826" s="3" customFormat="1" x14ac:dyDescent="0.25"/>
    <row r="827" s="3" customFormat="1" x14ac:dyDescent="0.25"/>
    <row r="828" s="3" customFormat="1" x14ac:dyDescent="0.25"/>
    <row r="829" s="3" customFormat="1" x14ac:dyDescent="0.25"/>
    <row r="830" s="3" customFormat="1" x14ac:dyDescent="0.25"/>
    <row r="831" s="3" customFormat="1" x14ac:dyDescent="0.25"/>
    <row r="832" s="3" customFormat="1" x14ac:dyDescent="0.25"/>
    <row r="833" s="3" customFormat="1" x14ac:dyDescent="0.25"/>
    <row r="834" s="3" customFormat="1" x14ac:dyDescent="0.25"/>
    <row r="835" s="3" customFormat="1" x14ac:dyDescent="0.25"/>
    <row r="836" s="3" customFormat="1" x14ac:dyDescent="0.25"/>
    <row r="837" s="3" customFormat="1" x14ac:dyDescent="0.25"/>
    <row r="838" s="3" customFormat="1" x14ac:dyDescent="0.25"/>
    <row r="839" s="3" customFormat="1" x14ac:dyDescent="0.25"/>
    <row r="840" s="3" customFormat="1" x14ac:dyDescent="0.25"/>
    <row r="841" s="3" customFormat="1" x14ac:dyDescent="0.25"/>
    <row r="842" s="3" customFormat="1" x14ac:dyDescent="0.25"/>
    <row r="843" s="3" customFormat="1" x14ac:dyDescent="0.25"/>
    <row r="844" s="3" customFormat="1" x14ac:dyDescent="0.25"/>
    <row r="845" s="3" customFormat="1" x14ac:dyDescent="0.25"/>
    <row r="846" s="3" customFormat="1" x14ac:dyDescent="0.25"/>
    <row r="847" s="3" customFormat="1" x14ac:dyDescent="0.25"/>
    <row r="848" s="3" customFormat="1" x14ac:dyDescent="0.25"/>
    <row r="849" s="3" customFormat="1" x14ac:dyDescent="0.25"/>
    <row r="850" s="3" customFormat="1" x14ac:dyDescent="0.25"/>
    <row r="851" s="3" customFormat="1" x14ac:dyDescent="0.25"/>
    <row r="852" s="3" customFormat="1" x14ac:dyDescent="0.25"/>
    <row r="853" s="3" customFormat="1" x14ac:dyDescent="0.25"/>
    <row r="854" s="3" customFormat="1" x14ac:dyDescent="0.25"/>
    <row r="855" s="3" customFormat="1" x14ac:dyDescent="0.25"/>
    <row r="856" s="3" customFormat="1" x14ac:dyDescent="0.25"/>
    <row r="857" s="3" customFormat="1" x14ac:dyDescent="0.25"/>
    <row r="858" s="3" customFormat="1" x14ac:dyDescent="0.25"/>
    <row r="859" s="3" customFormat="1" x14ac:dyDescent="0.25"/>
    <row r="860" s="3" customFormat="1" x14ac:dyDescent="0.25"/>
    <row r="861" s="3" customFormat="1" x14ac:dyDescent="0.25"/>
    <row r="862" s="3" customFormat="1" x14ac:dyDescent="0.25"/>
    <row r="863" s="3" customFormat="1" x14ac:dyDescent="0.25"/>
    <row r="864" s="3" customFormat="1" x14ac:dyDescent="0.25"/>
    <row r="865" s="3" customFormat="1" x14ac:dyDescent="0.25"/>
    <row r="866" s="3" customFormat="1" x14ac:dyDescent="0.25"/>
    <row r="867" s="3" customFormat="1" x14ac:dyDescent="0.25"/>
    <row r="868" s="3" customFormat="1" x14ac:dyDescent="0.25"/>
    <row r="869" s="3" customFormat="1" x14ac:dyDescent="0.25"/>
    <row r="870" s="3" customFormat="1" x14ac:dyDescent="0.25"/>
    <row r="871" s="3" customFormat="1" x14ac:dyDescent="0.25"/>
    <row r="872" s="3" customFormat="1" x14ac:dyDescent="0.25"/>
    <row r="873" s="3" customFormat="1" x14ac:dyDescent="0.25"/>
    <row r="874" s="3" customFormat="1" x14ac:dyDescent="0.25"/>
    <row r="875" s="3" customFormat="1" x14ac:dyDescent="0.25"/>
    <row r="876" s="3" customFormat="1" x14ac:dyDescent="0.25"/>
    <row r="877" s="3" customFormat="1" x14ac:dyDescent="0.25"/>
    <row r="878" s="3" customFormat="1" x14ac:dyDescent="0.25"/>
    <row r="879" s="3" customFormat="1" x14ac:dyDescent="0.25"/>
    <row r="880" s="3" customFormat="1" x14ac:dyDescent="0.25"/>
    <row r="881" s="3" customFormat="1" x14ac:dyDescent="0.25"/>
    <row r="882" s="3" customFormat="1" x14ac:dyDescent="0.25"/>
    <row r="883" s="3" customFormat="1" x14ac:dyDescent="0.25"/>
    <row r="884" s="3" customFormat="1" x14ac:dyDescent="0.25"/>
    <row r="885" s="3" customFormat="1" x14ac:dyDescent="0.25"/>
    <row r="886" s="3" customFormat="1" x14ac:dyDescent="0.25"/>
    <row r="887" s="3" customFormat="1" x14ac:dyDescent="0.25"/>
    <row r="888" s="3" customFormat="1" x14ac:dyDescent="0.25"/>
    <row r="889" s="3" customFormat="1" x14ac:dyDescent="0.25"/>
    <row r="890" s="3" customFormat="1" x14ac:dyDescent="0.25"/>
    <row r="891" s="3" customFormat="1" x14ac:dyDescent="0.25"/>
    <row r="892" s="3" customFormat="1" x14ac:dyDescent="0.25"/>
    <row r="893" s="3" customFormat="1" x14ac:dyDescent="0.25"/>
    <row r="894" s="3" customFormat="1" x14ac:dyDescent="0.25"/>
    <row r="895" s="3" customFormat="1" x14ac:dyDescent="0.25"/>
    <row r="896" s="3" customFormat="1" x14ac:dyDescent="0.25"/>
    <row r="897" s="3" customFormat="1" x14ac:dyDescent="0.25"/>
    <row r="898" s="3" customFormat="1" x14ac:dyDescent="0.25"/>
    <row r="899" s="3" customFormat="1" x14ac:dyDescent="0.25"/>
    <row r="900" s="3" customFormat="1" x14ac:dyDescent="0.25"/>
    <row r="901" s="3" customFormat="1" x14ac:dyDescent="0.25"/>
    <row r="902" s="3" customFormat="1" x14ac:dyDescent="0.25"/>
    <row r="903" s="3" customFormat="1" x14ac:dyDescent="0.25"/>
    <row r="904" s="3" customFormat="1" x14ac:dyDescent="0.25"/>
    <row r="905" s="3" customFormat="1" x14ac:dyDescent="0.25"/>
    <row r="906" s="3" customFormat="1" x14ac:dyDescent="0.25"/>
    <row r="907" s="3" customFormat="1" x14ac:dyDescent="0.25"/>
    <row r="908" s="3" customFormat="1" x14ac:dyDescent="0.25"/>
    <row r="909" s="3" customFormat="1" x14ac:dyDescent="0.25"/>
    <row r="910" s="3" customFormat="1" x14ac:dyDescent="0.25"/>
    <row r="911" s="3" customFormat="1" x14ac:dyDescent="0.25"/>
    <row r="912" s="3" customFormat="1" x14ac:dyDescent="0.25"/>
    <row r="913" s="3" customFormat="1" x14ac:dyDescent="0.25"/>
    <row r="914" s="3" customFormat="1" x14ac:dyDescent="0.25"/>
    <row r="915" s="3" customFormat="1" x14ac:dyDescent="0.25"/>
    <row r="916" s="3" customFormat="1" x14ac:dyDescent="0.25"/>
    <row r="917" s="3" customFormat="1" x14ac:dyDescent="0.25"/>
    <row r="918" s="3" customFormat="1" x14ac:dyDescent="0.25"/>
    <row r="919" s="3" customFormat="1" x14ac:dyDescent="0.25"/>
    <row r="920" s="3" customFormat="1" x14ac:dyDescent="0.25"/>
    <row r="921" s="3" customFormat="1" x14ac:dyDescent="0.25"/>
    <row r="922" s="3" customFormat="1" x14ac:dyDescent="0.25"/>
    <row r="923" s="3" customFormat="1" x14ac:dyDescent="0.25"/>
    <row r="924" s="3" customFormat="1" x14ac:dyDescent="0.25"/>
    <row r="925" s="3" customFormat="1" x14ac:dyDescent="0.25"/>
    <row r="926" s="3" customFormat="1" x14ac:dyDescent="0.25"/>
    <row r="927" s="3" customFormat="1" x14ac:dyDescent="0.25"/>
    <row r="928" s="3" customFormat="1" x14ac:dyDescent="0.25"/>
    <row r="929" s="3" customFormat="1" x14ac:dyDescent="0.25"/>
    <row r="930" s="3" customFormat="1" x14ac:dyDescent="0.25"/>
    <row r="931" s="3" customFormat="1" x14ac:dyDescent="0.25"/>
    <row r="932" s="3" customFormat="1" x14ac:dyDescent="0.25"/>
    <row r="933" s="3" customFormat="1" x14ac:dyDescent="0.25"/>
    <row r="934" s="3" customFormat="1" x14ac:dyDescent="0.25"/>
    <row r="935" s="3" customFormat="1" x14ac:dyDescent="0.25"/>
    <row r="936" s="3" customFormat="1" x14ac:dyDescent="0.25"/>
    <row r="937" s="3" customFormat="1" x14ac:dyDescent="0.25"/>
    <row r="938" s="3" customFormat="1" x14ac:dyDescent="0.25"/>
    <row r="939" s="3" customFormat="1" x14ac:dyDescent="0.25"/>
    <row r="940" s="3" customFormat="1" x14ac:dyDescent="0.25"/>
    <row r="941" s="3" customFormat="1" x14ac:dyDescent="0.25"/>
    <row r="942" s="3" customFormat="1" x14ac:dyDescent="0.25"/>
    <row r="943" s="3" customFormat="1" x14ac:dyDescent="0.25"/>
    <row r="944" s="3" customFormat="1" x14ac:dyDescent="0.25"/>
    <row r="945" s="3" customFormat="1" x14ac:dyDescent="0.25"/>
    <row r="946" s="3" customFormat="1" x14ac:dyDescent="0.25"/>
    <row r="947" s="3" customFormat="1" x14ac:dyDescent="0.25"/>
    <row r="948" s="3" customFormat="1" x14ac:dyDescent="0.25"/>
    <row r="949" s="3" customFormat="1" x14ac:dyDescent="0.25"/>
    <row r="950" s="3" customFormat="1" x14ac:dyDescent="0.25"/>
    <row r="951" s="3" customFormat="1" x14ac:dyDescent="0.25"/>
    <row r="952" s="3" customFormat="1" x14ac:dyDescent="0.25"/>
    <row r="953" s="3" customFormat="1" x14ac:dyDescent="0.25"/>
    <row r="954" s="3" customFormat="1" x14ac:dyDescent="0.25"/>
    <row r="955" s="3" customFormat="1" x14ac:dyDescent="0.25"/>
    <row r="956" s="3" customFormat="1" x14ac:dyDescent="0.25"/>
    <row r="957" s="3" customFormat="1" x14ac:dyDescent="0.25"/>
    <row r="958" s="3" customFormat="1" x14ac:dyDescent="0.25"/>
    <row r="959" s="3" customFormat="1" x14ac:dyDescent="0.25"/>
    <row r="960" s="3" customFormat="1" x14ac:dyDescent="0.25"/>
    <row r="961" s="3" customFormat="1" x14ac:dyDescent="0.25"/>
    <row r="962" s="3" customFormat="1" x14ac:dyDescent="0.25"/>
    <row r="963" s="3" customFormat="1" x14ac:dyDescent="0.25"/>
    <row r="964" s="3" customFormat="1" x14ac:dyDescent="0.25"/>
    <row r="965" s="3" customFormat="1" x14ac:dyDescent="0.25"/>
    <row r="966" s="3" customFormat="1" x14ac:dyDescent="0.25"/>
    <row r="967" s="3" customFormat="1" x14ac:dyDescent="0.25"/>
    <row r="968" s="3" customFormat="1" x14ac:dyDescent="0.25"/>
    <row r="969" s="3" customFormat="1" x14ac:dyDescent="0.25"/>
    <row r="970" s="3" customFormat="1" x14ac:dyDescent="0.25"/>
    <row r="971" s="3" customFormat="1" x14ac:dyDescent="0.25"/>
    <row r="972" s="3" customFormat="1" x14ac:dyDescent="0.25"/>
    <row r="973" s="3" customFormat="1" x14ac:dyDescent="0.25"/>
    <row r="974" s="3" customFormat="1" x14ac:dyDescent="0.25"/>
    <row r="975" s="3" customFormat="1" x14ac:dyDescent="0.25"/>
    <row r="976" s="3" customFormat="1" x14ac:dyDescent="0.25"/>
    <row r="977" s="3" customFormat="1" x14ac:dyDescent="0.25"/>
    <row r="978" s="3" customFormat="1" x14ac:dyDescent="0.25"/>
    <row r="979" s="3" customFormat="1" x14ac:dyDescent="0.25"/>
    <row r="980" s="3" customFormat="1" x14ac:dyDescent="0.25"/>
    <row r="981" s="3" customFormat="1" x14ac:dyDescent="0.25"/>
    <row r="982" s="3" customFormat="1" x14ac:dyDescent="0.25"/>
    <row r="983" s="3" customFormat="1" x14ac:dyDescent="0.25"/>
    <row r="984" s="3" customFormat="1" x14ac:dyDescent="0.25"/>
    <row r="985" s="3" customFormat="1" x14ac:dyDescent="0.25"/>
    <row r="986" s="3" customFormat="1" x14ac:dyDescent="0.25"/>
    <row r="987" s="3" customFormat="1" x14ac:dyDescent="0.25"/>
    <row r="988" s="3" customFormat="1" x14ac:dyDescent="0.25"/>
    <row r="989" s="3" customFormat="1" x14ac:dyDescent="0.25"/>
    <row r="990" s="3" customFormat="1" x14ac:dyDescent="0.25"/>
    <row r="991" s="3" customFormat="1" x14ac:dyDescent="0.25"/>
    <row r="992" s="3" customFormat="1" x14ac:dyDescent="0.25"/>
    <row r="993" s="3" customFormat="1" x14ac:dyDescent="0.25"/>
    <row r="994" s="3" customFormat="1" x14ac:dyDescent="0.25"/>
    <row r="995" s="3" customFormat="1" x14ac:dyDescent="0.25"/>
    <row r="996" s="3" customFormat="1" x14ac:dyDescent="0.25"/>
    <row r="997" s="3" customFormat="1" x14ac:dyDescent="0.25"/>
    <row r="998" s="3" customFormat="1" x14ac:dyDescent="0.25"/>
    <row r="999" s="3" customFormat="1" x14ac:dyDescent="0.25"/>
    <row r="1000" s="3" customFormat="1" x14ac:dyDescent="0.25"/>
    <row r="1001" s="3" customFormat="1" x14ac:dyDescent="0.25"/>
    <row r="1002" s="3" customFormat="1" x14ac:dyDescent="0.25"/>
    <row r="1003" s="3" customFormat="1" x14ac:dyDescent="0.25"/>
    <row r="1004" s="3" customFormat="1" x14ac:dyDescent="0.25"/>
    <row r="1005" s="3" customFormat="1" x14ac:dyDescent="0.25"/>
    <row r="1006" s="3" customFormat="1" x14ac:dyDescent="0.25"/>
    <row r="1007" s="3" customFormat="1" x14ac:dyDescent="0.25"/>
    <row r="1008" s="3" customFormat="1" x14ac:dyDescent="0.25"/>
    <row r="1009" s="3" customFormat="1" x14ac:dyDescent="0.25"/>
    <row r="1010" s="3" customFormat="1" x14ac:dyDescent="0.25"/>
    <row r="1011" s="3" customFormat="1" x14ac:dyDescent="0.25"/>
    <row r="1012" s="3" customFormat="1" x14ac:dyDescent="0.25"/>
    <row r="1013" s="3" customFormat="1" x14ac:dyDescent="0.25"/>
    <row r="1014" s="3" customFormat="1" x14ac:dyDescent="0.25"/>
    <row r="1015" s="3" customFormat="1" x14ac:dyDescent="0.25"/>
    <row r="1016" s="3" customFormat="1" x14ac:dyDescent="0.25"/>
    <row r="1017" s="3" customFormat="1" x14ac:dyDescent="0.25"/>
    <row r="1018" s="3" customFormat="1" x14ac:dyDescent="0.25"/>
    <row r="1019" s="3" customFormat="1" x14ac:dyDescent="0.25"/>
    <row r="1020" s="3" customFormat="1" x14ac:dyDescent="0.25"/>
    <row r="1021" s="3" customFormat="1" x14ac:dyDescent="0.25"/>
    <row r="1022" s="3" customFormat="1" x14ac:dyDescent="0.25"/>
    <row r="1023" s="3" customFormat="1" x14ac:dyDescent="0.25"/>
    <row r="1024" s="3" customFormat="1" x14ac:dyDescent="0.25"/>
    <row r="1025" s="3" customFormat="1" x14ac:dyDescent="0.25"/>
    <row r="1026" s="3" customFormat="1" x14ac:dyDescent="0.25"/>
    <row r="1027" s="3" customFormat="1" x14ac:dyDescent="0.25"/>
    <row r="1028" s="3" customFormat="1" x14ac:dyDescent="0.25"/>
    <row r="1029" s="3" customFormat="1" x14ac:dyDescent="0.25"/>
    <row r="1030" s="3" customFormat="1" x14ac:dyDescent="0.25"/>
    <row r="1031" s="3" customFormat="1" x14ac:dyDescent="0.25"/>
    <row r="1032" s="3" customFormat="1" x14ac:dyDescent="0.25"/>
    <row r="1033" s="3" customFormat="1" x14ac:dyDescent="0.25"/>
    <row r="1034" s="3" customFormat="1" x14ac:dyDescent="0.25"/>
    <row r="1035" s="3" customFormat="1" x14ac:dyDescent="0.25"/>
    <row r="1036" s="3" customFormat="1" x14ac:dyDescent="0.25"/>
    <row r="1037" s="3" customFormat="1" x14ac:dyDescent="0.25"/>
    <row r="1038" s="3" customFormat="1" x14ac:dyDescent="0.25"/>
    <row r="1039" s="3" customFormat="1" x14ac:dyDescent="0.25"/>
    <row r="1040" s="3" customFormat="1" x14ac:dyDescent="0.25"/>
    <row r="1041" s="3" customFormat="1" x14ac:dyDescent="0.25"/>
    <row r="1042" s="3" customFormat="1" x14ac:dyDescent="0.25"/>
    <row r="1043" s="3" customFormat="1" x14ac:dyDescent="0.25"/>
    <row r="1044" s="3" customFormat="1" x14ac:dyDescent="0.25"/>
    <row r="1045" s="3" customFormat="1" x14ac:dyDescent="0.25"/>
    <row r="1046" s="3" customFormat="1" x14ac:dyDescent="0.25"/>
    <row r="1047" s="3" customFormat="1" x14ac:dyDescent="0.25"/>
    <row r="1048" s="3" customFormat="1" x14ac:dyDescent="0.25"/>
    <row r="1049" s="3" customFormat="1" x14ac:dyDescent="0.25"/>
    <row r="1050" s="3" customFormat="1" x14ac:dyDescent="0.25"/>
    <row r="1051" s="3" customFormat="1" x14ac:dyDescent="0.25"/>
    <row r="1052" s="3" customFormat="1" x14ac:dyDescent="0.25"/>
    <row r="1053" s="3" customFormat="1" x14ac:dyDescent="0.25"/>
    <row r="1054" s="3" customFormat="1" x14ac:dyDescent="0.25"/>
    <row r="1055" s="3" customFormat="1" x14ac:dyDescent="0.25"/>
    <row r="1056" s="3" customFormat="1" x14ac:dyDescent="0.25"/>
    <row r="1057" s="3" customFormat="1" x14ac:dyDescent="0.25"/>
    <row r="1058" s="3" customFormat="1" x14ac:dyDescent="0.25"/>
    <row r="1059" s="3" customFormat="1" x14ac:dyDescent="0.25"/>
    <row r="1060" s="3" customFormat="1" x14ac:dyDescent="0.25"/>
    <row r="1061" s="3" customFormat="1" x14ac:dyDescent="0.25"/>
    <row r="1062" s="3" customFormat="1" x14ac:dyDescent="0.25"/>
    <row r="1063" s="3" customFormat="1" x14ac:dyDescent="0.25"/>
    <row r="1064" s="3" customFormat="1" x14ac:dyDescent="0.25"/>
    <row r="1065" s="3" customFormat="1" x14ac:dyDescent="0.25"/>
    <row r="1066" s="3" customFormat="1" x14ac:dyDescent="0.25"/>
    <row r="1067" s="3" customFormat="1" x14ac:dyDescent="0.25"/>
    <row r="1068" s="3" customFormat="1" x14ac:dyDescent="0.25"/>
    <row r="1069" s="3" customFormat="1" x14ac:dyDescent="0.25"/>
    <row r="1070" s="3" customFormat="1" x14ac:dyDescent="0.25"/>
    <row r="1071" s="3" customFormat="1" x14ac:dyDescent="0.25"/>
    <row r="1072" s="3" customFormat="1" x14ac:dyDescent="0.25"/>
    <row r="1073" s="3" customFormat="1" x14ac:dyDescent="0.25"/>
    <row r="1074" s="3" customFormat="1" x14ac:dyDescent="0.25"/>
    <row r="1075" s="3" customFormat="1" x14ac:dyDescent="0.25"/>
    <row r="1076" s="3" customFormat="1" x14ac:dyDescent="0.25"/>
    <row r="1077" s="3" customFormat="1" x14ac:dyDescent="0.25"/>
    <row r="1078" s="3" customFormat="1" x14ac:dyDescent="0.25"/>
    <row r="1079" s="3" customFormat="1" x14ac:dyDescent="0.25"/>
    <row r="1080" s="3" customFormat="1" x14ac:dyDescent="0.25"/>
    <row r="1081" s="3" customFormat="1" x14ac:dyDescent="0.25"/>
    <row r="1082" s="3" customFormat="1" x14ac:dyDescent="0.25"/>
    <row r="1083" s="3" customFormat="1" x14ac:dyDescent="0.25"/>
    <row r="1084" s="3" customFormat="1" x14ac:dyDescent="0.25"/>
    <row r="1085" s="3" customFormat="1" x14ac:dyDescent="0.25"/>
    <row r="1086" s="3" customFormat="1" x14ac:dyDescent="0.25"/>
    <row r="1087" s="3" customFormat="1" x14ac:dyDescent="0.25"/>
    <row r="1088" s="3" customFormat="1" x14ac:dyDescent="0.25"/>
    <row r="1089" s="3" customFormat="1" x14ac:dyDescent="0.25"/>
    <row r="1090" s="3" customFormat="1" x14ac:dyDescent="0.25"/>
    <row r="1091" s="3" customFormat="1" x14ac:dyDescent="0.25"/>
    <row r="1092" s="3" customFormat="1" x14ac:dyDescent="0.25"/>
    <row r="1093" s="3" customFormat="1" x14ac:dyDescent="0.25"/>
    <row r="1094" s="3" customFormat="1" x14ac:dyDescent="0.25"/>
    <row r="1095" s="3" customFormat="1" x14ac:dyDescent="0.25"/>
    <row r="1096" s="3" customFormat="1" x14ac:dyDescent="0.25"/>
    <row r="1097" s="3" customFormat="1" x14ac:dyDescent="0.25"/>
    <row r="1098" s="3" customFormat="1" x14ac:dyDescent="0.25"/>
    <row r="1099" s="3" customFormat="1" x14ac:dyDescent="0.25"/>
    <row r="1100" s="3" customFormat="1" x14ac:dyDescent="0.25"/>
    <row r="1101" s="3" customFormat="1" x14ac:dyDescent="0.25"/>
    <row r="1102" s="3" customFormat="1" x14ac:dyDescent="0.25"/>
    <row r="1103" s="3" customFormat="1" x14ac:dyDescent="0.25"/>
    <row r="1104" s="3" customFormat="1" x14ac:dyDescent="0.25"/>
    <row r="1105" s="3" customFormat="1" x14ac:dyDescent="0.25"/>
    <row r="1106" s="3" customFormat="1" x14ac:dyDescent="0.25"/>
    <row r="1107" s="3" customFormat="1" x14ac:dyDescent="0.25"/>
    <row r="1108" s="3" customFormat="1" x14ac:dyDescent="0.25"/>
    <row r="1109" s="3" customFormat="1" x14ac:dyDescent="0.25"/>
    <row r="1110" s="3" customFormat="1" x14ac:dyDescent="0.25"/>
    <row r="1111" s="3" customFormat="1" x14ac:dyDescent="0.25"/>
    <row r="1112" s="3" customFormat="1" x14ac:dyDescent="0.25"/>
    <row r="1113" s="3" customFormat="1" x14ac:dyDescent="0.25"/>
    <row r="1114" s="3" customFormat="1" x14ac:dyDescent="0.25"/>
    <row r="1115" s="3" customFormat="1" x14ac:dyDescent="0.25"/>
    <row r="1116" s="3" customFormat="1" x14ac:dyDescent="0.25"/>
    <row r="1117" s="3" customFormat="1" x14ac:dyDescent="0.25"/>
    <row r="1118" s="3" customFormat="1" x14ac:dyDescent="0.25"/>
    <row r="1119" s="3" customFormat="1" x14ac:dyDescent="0.25"/>
    <row r="1120" s="3" customFormat="1" x14ac:dyDescent="0.25"/>
    <row r="1121" s="3" customFormat="1" x14ac:dyDescent="0.25"/>
    <row r="1122" s="3" customFormat="1" x14ac:dyDescent="0.25"/>
    <row r="1123" s="3" customFormat="1" x14ac:dyDescent="0.25"/>
    <row r="1124" s="3" customFormat="1" x14ac:dyDescent="0.25"/>
    <row r="1125" s="3" customFormat="1" x14ac:dyDescent="0.25"/>
    <row r="1126" s="3" customFormat="1" x14ac:dyDescent="0.25"/>
    <row r="1127" s="3" customFormat="1" x14ac:dyDescent="0.25"/>
    <row r="1128" s="3" customFormat="1" x14ac:dyDescent="0.25"/>
    <row r="1129" s="3" customFormat="1" x14ac:dyDescent="0.25"/>
    <row r="1130" s="3" customFormat="1" x14ac:dyDescent="0.25"/>
    <row r="1131" s="3" customFormat="1" x14ac:dyDescent="0.25"/>
    <row r="1132" s="3" customFormat="1" x14ac:dyDescent="0.25"/>
    <row r="1133" s="3" customFormat="1" x14ac:dyDescent="0.25"/>
    <row r="1134" s="3" customFormat="1" x14ac:dyDescent="0.25"/>
    <row r="1135" s="3" customFormat="1" x14ac:dyDescent="0.25"/>
    <row r="1136" s="3" customFormat="1" x14ac:dyDescent="0.25"/>
    <row r="1137" s="3" customFormat="1" x14ac:dyDescent="0.25"/>
    <row r="1138" s="3" customFormat="1" x14ac:dyDescent="0.25"/>
    <row r="1139" s="3" customFormat="1" x14ac:dyDescent="0.25"/>
    <row r="1140" s="3" customFormat="1" x14ac:dyDescent="0.25"/>
    <row r="1141" s="3" customFormat="1" x14ac:dyDescent="0.25"/>
    <row r="1142" s="3" customFormat="1" x14ac:dyDescent="0.25"/>
    <row r="1143" s="3" customFormat="1" x14ac:dyDescent="0.25"/>
    <row r="1144" s="3" customFormat="1" x14ac:dyDescent="0.25"/>
    <row r="1145" s="3" customFormat="1" x14ac:dyDescent="0.25"/>
    <row r="1146" s="3" customFormat="1" x14ac:dyDescent="0.25"/>
    <row r="1147" s="3" customFormat="1" x14ac:dyDescent="0.25"/>
    <row r="1148" s="3" customFormat="1" x14ac:dyDescent="0.25"/>
    <row r="1149" s="3" customFormat="1" x14ac:dyDescent="0.25"/>
    <row r="1150" s="3" customFormat="1" x14ac:dyDescent="0.25"/>
    <row r="1151" s="3" customFormat="1" x14ac:dyDescent="0.25"/>
    <row r="1152" s="3" customFormat="1" x14ac:dyDescent="0.25"/>
    <row r="1153" s="3" customFormat="1" x14ac:dyDescent="0.25"/>
    <row r="1154" s="3" customFormat="1" x14ac:dyDescent="0.25"/>
    <row r="1155" s="3" customFormat="1" x14ac:dyDescent="0.25"/>
    <row r="1156" s="3" customFormat="1" x14ac:dyDescent="0.25"/>
    <row r="1157" s="3" customFormat="1" x14ac:dyDescent="0.25"/>
    <row r="1158" s="3" customFormat="1" x14ac:dyDescent="0.25"/>
    <row r="1159" s="3" customFormat="1" x14ac:dyDescent="0.25"/>
    <row r="1160" s="3" customFormat="1" x14ac:dyDescent="0.25"/>
    <row r="1161" s="3" customFormat="1" x14ac:dyDescent="0.25"/>
    <row r="1162" s="3" customFormat="1" x14ac:dyDescent="0.25"/>
    <row r="1163" s="3" customFormat="1" x14ac:dyDescent="0.25"/>
    <row r="1164" s="3" customFormat="1" x14ac:dyDescent="0.25"/>
    <row r="1165" s="3" customFormat="1" x14ac:dyDescent="0.25"/>
    <row r="1166" s="3" customFormat="1" x14ac:dyDescent="0.25"/>
    <row r="1167" s="3" customFormat="1" x14ac:dyDescent="0.25"/>
    <row r="1168" s="3" customFormat="1" x14ac:dyDescent="0.25"/>
    <row r="1169" s="3" customFormat="1" x14ac:dyDescent="0.25"/>
    <row r="1170" s="3" customFormat="1" x14ac:dyDescent="0.25"/>
    <row r="1171" s="3" customFormat="1" x14ac:dyDescent="0.25"/>
    <row r="1172" s="3" customFormat="1" x14ac:dyDescent="0.25"/>
    <row r="1173" s="3" customFormat="1" x14ac:dyDescent="0.25"/>
    <row r="1174" s="3" customFormat="1" x14ac:dyDescent="0.25"/>
    <row r="1175" s="3" customFormat="1" x14ac:dyDescent="0.25"/>
    <row r="1176" s="3" customFormat="1" x14ac:dyDescent="0.25"/>
    <row r="1177" s="3" customFormat="1" x14ac:dyDescent="0.25"/>
    <row r="1178" s="3" customFormat="1" x14ac:dyDescent="0.25"/>
    <row r="1179" s="3" customFormat="1" x14ac:dyDescent="0.25"/>
    <row r="1180" s="3" customFormat="1" x14ac:dyDescent="0.25"/>
    <row r="1181" s="3" customFormat="1" x14ac:dyDescent="0.25"/>
    <row r="1182" s="3" customFormat="1" x14ac:dyDescent="0.25"/>
    <row r="1183" s="3" customFormat="1" x14ac:dyDescent="0.25"/>
    <row r="1184" s="3" customFormat="1" x14ac:dyDescent="0.25"/>
    <row r="1185" s="3" customFormat="1" x14ac:dyDescent="0.25"/>
    <row r="1186" s="3" customFormat="1" x14ac:dyDescent="0.25"/>
    <row r="1187" s="3" customFormat="1" x14ac:dyDescent="0.25"/>
    <row r="1188" s="3" customFormat="1" x14ac:dyDescent="0.25"/>
    <row r="1189" s="3" customFormat="1" x14ac:dyDescent="0.25"/>
    <row r="1190" s="3" customFormat="1" x14ac:dyDescent="0.25"/>
    <row r="1191" s="3" customFormat="1" x14ac:dyDescent="0.25"/>
    <row r="1192" s="3" customFormat="1" x14ac:dyDescent="0.25"/>
    <row r="1193" s="3" customFormat="1" x14ac:dyDescent="0.25"/>
    <row r="1194" s="3" customFormat="1" x14ac:dyDescent="0.25"/>
    <row r="1195" s="3" customFormat="1" x14ac:dyDescent="0.25"/>
    <row r="1196" s="3" customFormat="1" x14ac:dyDescent="0.25"/>
    <row r="1197" s="3" customFormat="1" x14ac:dyDescent="0.25"/>
    <row r="1198" s="3" customFormat="1" x14ac:dyDescent="0.25"/>
    <row r="1199" s="3" customFormat="1" x14ac:dyDescent="0.25"/>
    <row r="1200" s="3" customFormat="1" x14ac:dyDescent="0.25"/>
    <row r="1201" s="3" customFormat="1" x14ac:dyDescent="0.25"/>
    <row r="1202" s="3" customFormat="1" x14ac:dyDescent="0.25"/>
    <row r="1203" s="3" customFormat="1" x14ac:dyDescent="0.25"/>
    <row r="1204" s="3" customFormat="1" x14ac:dyDescent="0.25"/>
    <row r="1205" s="3" customFormat="1" x14ac:dyDescent="0.25"/>
    <row r="1206" s="3" customFormat="1" x14ac:dyDescent="0.25"/>
    <row r="1207" s="3" customFormat="1" x14ac:dyDescent="0.25"/>
    <row r="1208" s="3" customFormat="1" x14ac:dyDescent="0.25"/>
    <row r="1209" s="3" customFormat="1" x14ac:dyDescent="0.25"/>
    <row r="1210" s="3" customFormat="1" x14ac:dyDescent="0.25"/>
    <row r="1211" s="3" customFormat="1" x14ac:dyDescent="0.25"/>
    <row r="1212" s="3" customFormat="1" x14ac:dyDescent="0.25"/>
    <row r="1213" s="3" customFormat="1" x14ac:dyDescent="0.25"/>
    <row r="1214" s="3" customFormat="1" x14ac:dyDescent="0.25"/>
    <row r="1215" s="3" customFormat="1" x14ac:dyDescent="0.25"/>
    <row r="1216" s="3" customFormat="1" x14ac:dyDescent="0.25"/>
    <row r="1217" s="3" customFormat="1" x14ac:dyDescent="0.25"/>
    <row r="1218" s="3" customFormat="1" x14ac:dyDescent="0.25"/>
    <row r="1219" s="3" customFormat="1" x14ac:dyDescent="0.25"/>
    <row r="1220" s="3" customFormat="1" x14ac:dyDescent="0.25"/>
    <row r="1221" s="3" customFormat="1" x14ac:dyDescent="0.25"/>
    <row r="1222" s="3" customFormat="1" x14ac:dyDescent="0.25"/>
    <row r="1223" s="3" customFormat="1" x14ac:dyDescent="0.25"/>
    <row r="1224" s="3" customFormat="1" x14ac:dyDescent="0.25"/>
    <row r="1225" s="3" customFormat="1" x14ac:dyDescent="0.25"/>
    <row r="1226" s="3" customFormat="1" x14ac:dyDescent="0.25"/>
    <row r="1227" s="3" customFormat="1" x14ac:dyDescent="0.25"/>
    <row r="1228" s="3" customFormat="1" x14ac:dyDescent="0.25"/>
    <row r="1229" s="3" customFormat="1" x14ac:dyDescent="0.25"/>
    <row r="1230" s="3" customFormat="1" x14ac:dyDescent="0.25"/>
    <row r="1231" s="3" customFormat="1" x14ac:dyDescent="0.25"/>
    <row r="1232" s="3" customFormat="1" x14ac:dyDescent="0.25"/>
    <row r="1233" s="3" customFormat="1" x14ac:dyDescent="0.25"/>
    <row r="1234" s="3" customFormat="1" x14ac:dyDescent="0.25"/>
    <row r="1235" s="3" customFormat="1" x14ac:dyDescent="0.25"/>
    <row r="1236" s="3" customFormat="1" x14ac:dyDescent="0.25"/>
    <row r="1237" s="3" customFormat="1" x14ac:dyDescent="0.25"/>
    <row r="1238" s="3" customFormat="1" x14ac:dyDescent="0.25"/>
    <row r="1239" s="3" customFormat="1" x14ac:dyDescent="0.25"/>
    <row r="1240" s="3" customFormat="1" x14ac:dyDescent="0.25"/>
    <row r="1241" s="3" customFormat="1" x14ac:dyDescent="0.25"/>
    <row r="1242" s="3" customFormat="1" x14ac:dyDescent="0.25"/>
    <row r="1243" s="3" customFormat="1" x14ac:dyDescent="0.25"/>
    <row r="1244" s="3" customFormat="1" x14ac:dyDescent="0.25"/>
    <row r="1245" s="3" customFormat="1" x14ac:dyDescent="0.25"/>
    <row r="1246" s="3" customFormat="1" x14ac:dyDescent="0.25"/>
    <row r="1247" s="3" customFormat="1" x14ac:dyDescent="0.25"/>
    <row r="1248" s="3" customFormat="1" x14ac:dyDescent="0.25"/>
    <row r="1249" s="3" customFormat="1" x14ac:dyDescent="0.25"/>
    <row r="1250" s="3" customFormat="1" x14ac:dyDescent="0.25"/>
    <row r="1251" s="3" customFormat="1" x14ac:dyDescent="0.25"/>
    <row r="1252" s="3" customFormat="1" x14ac:dyDescent="0.25"/>
    <row r="1253" s="3" customFormat="1" x14ac:dyDescent="0.25"/>
    <row r="1254" s="3" customFormat="1" x14ac:dyDescent="0.25"/>
    <row r="1255" s="3" customFormat="1" x14ac:dyDescent="0.25"/>
    <row r="1256" s="3" customFormat="1" x14ac:dyDescent="0.25"/>
    <row r="1257" s="3" customFormat="1" x14ac:dyDescent="0.25"/>
    <row r="1258" s="3" customFormat="1" x14ac:dyDescent="0.25"/>
    <row r="1259" s="3" customFormat="1" x14ac:dyDescent="0.25"/>
    <row r="1260" s="3" customFormat="1" x14ac:dyDescent="0.25"/>
    <row r="1261" s="3" customFormat="1" x14ac:dyDescent="0.25"/>
    <row r="1262" s="3" customFormat="1" x14ac:dyDescent="0.25"/>
    <row r="1263" s="3" customFormat="1" x14ac:dyDescent="0.25"/>
    <row r="1264" s="3" customFormat="1" x14ac:dyDescent="0.25"/>
    <row r="1265" s="3" customFormat="1" x14ac:dyDescent="0.25"/>
    <row r="1266" s="3" customFormat="1" x14ac:dyDescent="0.25"/>
    <row r="1267" s="3" customFormat="1" x14ac:dyDescent="0.25"/>
    <row r="1268" s="3" customFormat="1" x14ac:dyDescent="0.25"/>
    <row r="1269" s="3" customFormat="1" x14ac:dyDescent="0.25"/>
    <row r="1270" s="3" customFormat="1" x14ac:dyDescent="0.25"/>
    <row r="1271" s="3" customFormat="1" x14ac:dyDescent="0.25"/>
    <row r="1272" s="3" customFormat="1" x14ac:dyDescent="0.25"/>
    <row r="1273" s="3" customFormat="1" x14ac:dyDescent="0.25"/>
    <row r="1274" s="3" customFormat="1" x14ac:dyDescent="0.25"/>
    <row r="1275" s="3" customFormat="1" x14ac:dyDescent="0.25"/>
    <row r="1276" s="3" customFormat="1" x14ac:dyDescent="0.25"/>
    <row r="1277" s="3" customFormat="1" x14ac:dyDescent="0.25"/>
    <row r="1278" s="3" customFormat="1" x14ac:dyDescent="0.25"/>
    <row r="1279" s="3" customFormat="1" x14ac:dyDescent="0.25"/>
    <row r="1280" s="3" customFormat="1" x14ac:dyDescent="0.25"/>
    <row r="1281" s="3" customFormat="1" x14ac:dyDescent="0.25"/>
    <row r="1282" s="3" customFormat="1" x14ac:dyDescent="0.25"/>
    <row r="1283" s="3" customFormat="1" x14ac:dyDescent="0.25"/>
    <row r="1284" s="3" customFormat="1" x14ac:dyDescent="0.25"/>
    <row r="1285" s="3" customFormat="1" x14ac:dyDescent="0.25"/>
    <row r="1286" s="3" customFormat="1" x14ac:dyDescent="0.25"/>
    <row r="1287" s="3" customFormat="1" x14ac:dyDescent="0.25"/>
    <row r="1288" s="3" customFormat="1" x14ac:dyDescent="0.25"/>
    <row r="1289" s="3" customFormat="1" x14ac:dyDescent="0.25"/>
    <row r="1290" s="3" customFormat="1" x14ac:dyDescent="0.25"/>
    <row r="1291" s="3" customFormat="1" x14ac:dyDescent="0.25"/>
    <row r="1292" s="3" customFormat="1" x14ac:dyDescent="0.25"/>
    <row r="1293" s="3" customFormat="1" x14ac:dyDescent="0.25"/>
    <row r="1294" s="3" customFormat="1" x14ac:dyDescent="0.25"/>
    <row r="1295" s="3" customFormat="1" x14ac:dyDescent="0.25"/>
    <row r="1296" s="3" customFormat="1" x14ac:dyDescent="0.25"/>
    <row r="1297" s="3" customFormat="1" x14ac:dyDescent="0.25"/>
    <row r="1298" s="3" customFormat="1" x14ac:dyDescent="0.25"/>
    <row r="1299" s="3" customFormat="1" x14ac:dyDescent="0.25"/>
    <row r="1300" s="3" customFormat="1" x14ac:dyDescent="0.25"/>
    <row r="1301" s="3" customFormat="1" x14ac:dyDescent="0.25"/>
    <row r="1302" s="3" customFormat="1" x14ac:dyDescent="0.25"/>
    <row r="1303" s="3" customFormat="1" x14ac:dyDescent="0.25"/>
    <row r="1304" s="3" customFormat="1" x14ac:dyDescent="0.25"/>
    <row r="1305" s="3" customFormat="1" x14ac:dyDescent="0.25"/>
    <row r="1306" s="3" customFormat="1" x14ac:dyDescent="0.25"/>
    <row r="1307" s="3" customFormat="1" x14ac:dyDescent="0.25"/>
    <row r="1308" s="3" customFormat="1" x14ac:dyDescent="0.25"/>
    <row r="1309" s="3" customFormat="1" x14ac:dyDescent="0.25"/>
    <row r="1310" s="3" customFormat="1" x14ac:dyDescent="0.25"/>
    <row r="1311" s="3" customFormat="1" x14ac:dyDescent="0.25"/>
    <row r="1312" s="3" customFormat="1" x14ac:dyDescent="0.25"/>
    <row r="1313" s="3" customFormat="1" x14ac:dyDescent="0.25"/>
    <row r="1314" s="3" customFormat="1" x14ac:dyDescent="0.25"/>
    <row r="1315" s="3" customFormat="1" x14ac:dyDescent="0.25"/>
    <row r="1316" s="3" customFormat="1" x14ac:dyDescent="0.25"/>
    <row r="1317" s="3" customFormat="1" x14ac:dyDescent="0.25"/>
    <row r="1318" s="3" customFormat="1" x14ac:dyDescent="0.25"/>
    <row r="1319" s="3" customFormat="1" x14ac:dyDescent="0.25"/>
    <row r="1320" s="3" customFormat="1" x14ac:dyDescent="0.25"/>
    <row r="1321" s="3" customFormat="1" x14ac:dyDescent="0.25"/>
    <row r="1322" s="3" customFormat="1" x14ac:dyDescent="0.25"/>
    <row r="1323" s="3" customFormat="1" x14ac:dyDescent="0.25"/>
    <row r="1324" s="3" customFormat="1" x14ac:dyDescent="0.25"/>
    <row r="1325" s="3" customFormat="1" x14ac:dyDescent="0.25"/>
    <row r="1326" s="3" customFormat="1" x14ac:dyDescent="0.25"/>
    <row r="1327" s="3" customFormat="1" x14ac:dyDescent="0.25"/>
    <row r="1328" s="3" customFormat="1" x14ac:dyDescent="0.25"/>
    <row r="1329" s="3" customFormat="1" x14ac:dyDescent="0.25"/>
    <row r="1330" s="3" customFormat="1" x14ac:dyDescent="0.25"/>
    <row r="1331" s="3" customFormat="1" x14ac:dyDescent="0.25"/>
    <row r="1332" s="3" customFormat="1" x14ac:dyDescent="0.25"/>
    <row r="1333" s="3" customFormat="1" x14ac:dyDescent="0.25"/>
    <row r="1334" s="3" customFormat="1" x14ac:dyDescent="0.25"/>
    <row r="1335" s="3" customFormat="1" x14ac:dyDescent="0.25"/>
    <row r="1336" s="3" customFormat="1" x14ac:dyDescent="0.25"/>
    <row r="1337" s="3" customFormat="1" x14ac:dyDescent="0.25"/>
    <row r="1338" s="3" customFormat="1" x14ac:dyDescent="0.25"/>
    <row r="1339" s="3" customFormat="1" x14ac:dyDescent="0.25"/>
    <row r="1340" s="3" customFormat="1" x14ac:dyDescent="0.25"/>
    <row r="1341" s="3" customFormat="1" x14ac:dyDescent="0.25"/>
    <row r="1342" s="3" customFormat="1" x14ac:dyDescent="0.25"/>
    <row r="1343" s="3" customFormat="1" x14ac:dyDescent="0.25"/>
    <row r="1344" s="3" customFormat="1" x14ac:dyDescent="0.25"/>
    <row r="1345" s="3" customFormat="1" x14ac:dyDescent="0.25"/>
    <row r="1346" s="3" customFormat="1" x14ac:dyDescent="0.25"/>
    <row r="1347" s="3" customFormat="1" x14ac:dyDescent="0.25"/>
    <row r="1348" s="3" customFormat="1" x14ac:dyDescent="0.25"/>
    <row r="1349" s="3" customFormat="1" x14ac:dyDescent="0.25"/>
    <row r="1350" s="3" customFormat="1" x14ac:dyDescent="0.25"/>
    <row r="1351" s="3" customFormat="1" x14ac:dyDescent="0.25"/>
    <row r="1352" s="3" customFormat="1" x14ac:dyDescent="0.25"/>
    <row r="1353" s="3" customFormat="1" x14ac:dyDescent="0.25"/>
    <row r="1354" s="3" customFormat="1" x14ac:dyDescent="0.25"/>
    <row r="1355" s="3" customFormat="1" x14ac:dyDescent="0.25"/>
    <row r="1356" s="3" customFormat="1" x14ac:dyDescent="0.25"/>
    <row r="1357" s="3" customFormat="1" x14ac:dyDescent="0.25"/>
    <row r="1358" s="3" customFormat="1" x14ac:dyDescent="0.25"/>
    <row r="1359" s="3" customFormat="1" x14ac:dyDescent="0.25"/>
    <row r="1360" s="3" customFormat="1" x14ac:dyDescent="0.25"/>
    <row r="1361" s="3" customFormat="1" x14ac:dyDescent="0.25"/>
    <row r="1362" s="3" customFormat="1" x14ac:dyDescent="0.25"/>
    <row r="1363" s="3" customFormat="1" x14ac:dyDescent="0.25"/>
    <row r="1364" s="3" customFormat="1" x14ac:dyDescent="0.25"/>
    <row r="1365" s="3" customFormat="1" x14ac:dyDescent="0.25"/>
    <row r="1366" s="3" customFormat="1" x14ac:dyDescent="0.25"/>
    <row r="1367" s="3" customFormat="1" x14ac:dyDescent="0.25"/>
    <row r="1368" s="3" customFormat="1" x14ac:dyDescent="0.25"/>
    <row r="1369" s="3" customFormat="1" x14ac:dyDescent="0.25"/>
    <row r="1370" s="3" customFormat="1" x14ac:dyDescent="0.25"/>
    <row r="1371" s="3" customFormat="1" x14ac:dyDescent="0.25"/>
    <row r="1372" s="3" customFormat="1" x14ac:dyDescent="0.25"/>
    <row r="1373" s="3" customFormat="1" x14ac:dyDescent="0.25"/>
    <row r="1374" s="3" customFormat="1" x14ac:dyDescent="0.25"/>
    <row r="1375" s="3" customFormat="1" x14ac:dyDescent="0.25"/>
    <row r="1376" s="3" customFormat="1" x14ac:dyDescent="0.25"/>
    <row r="1377" s="3" customFormat="1" x14ac:dyDescent="0.25"/>
    <row r="1378" s="3" customFormat="1" x14ac:dyDescent="0.25"/>
    <row r="1379" s="3" customFormat="1" x14ac:dyDescent="0.25"/>
    <row r="1380" s="3" customFormat="1" x14ac:dyDescent="0.25"/>
    <row r="1381" s="3" customFormat="1" x14ac:dyDescent="0.25"/>
    <row r="1382" s="3" customFormat="1" x14ac:dyDescent="0.25"/>
    <row r="1383" s="3" customFormat="1" x14ac:dyDescent="0.25"/>
    <row r="1384" s="3" customFormat="1" x14ac:dyDescent="0.25"/>
    <row r="1385" s="3" customFormat="1" x14ac:dyDescent="0.25"/>
    <row r="1386" s="3" customFormat="1" x14ac:dyDescent="0.25"/>
    <row r="1387" s="3" customFormat="1" x14ac:dyDescent="0.25"/>
    <row r="1388" s="3" customFormat="1" x14ac:dyDescent="0.25"/>
    <row r="1389" s="3" customFormat="1" x14ac:dyDescent="0.25"/>
    <row r="1390" s="3" customFormat="1" x14ac:dyDescent="0.25"/>
    <row r="1391" s="3" customFormat="1" x14ac:dyDescent="0.25"/>
    <row r="1392" s="3" customFormat="1" x14ac:dyDescent="0.25"/>
    <row r="1393" s="3" customFormat="1" x14ac:dyDescent="0.25"/>
    <row r="1394" s="3" customFormat="1" x14ac:dyDescent="0.25"/>
    <row r="1395" s="3" customFormat="1" x14ac:dyDescent="0.25"/>
    <row r="1396" s="3" customFormat="1" x14ac:dyDescent="0.25"/>
    <row r="1397" s="3" customFormat="1" x14ac:dyDescent="0.25"/>
    <row r="1398" s="3" customFormat="1" x14ac:dyDescent="0.25"/>
    <row r="1399" s="3" customFormat="1" x14ac:dyDescent="0.25"/>
    <row r="1400" s="3" customFormat="1" x14ac:dyDescent="0.25"/>
    <row r="1401" s="3" customFormat="1" x14ac:dyDescent="0.25"/>
    <row r="1402" s="3" customFormat="1" x14ac:dyDescent="0.25"/>
    <row r="1403" s="3" customFormat="1" x14ac:dyDescent="0.25"/>
    <row r="1404" s="3" customFormat="1" x14ac:dyDescent="0.25"/>
    <row r="1405" s="3" customFormat="1" x14ac:dyDescent="0.25"/>
    <row r="1406" s="3" customFormat="1" x14ac:dyDescent="0.25"/>
    <row r="1407" s="3" customFormat="1" x14ac:dyDescent="0.25"/>
    <row r="1408" s="3" customFormat="1" x14ac:dyDescent="0.25"/>
    <row r="1409" s="3" customFormat="1" x14ac:dyDescent="0.25"/>
    <row r="1410" s="3" customFormat="1" x14ac:dyDescent="0.25"/>
    <row r="1411" s="3" customFormat="1" x14ac:dyDescent="0.25"/>
    <row r="1412" s="3" customFormat="1" x14ac:dyDescent="0.25"/>
  </sheetData>
  <sheetProtection formatCells="0" formatColumns="0" formatRows="0" insertColumns="0" insertRows="0" insertHyperlinks="0" deleteColumns="0" deleteRows="0" sort="0" autoFilter="0" pivotTables="0"/>
  <protectedRanges>
    <protectedRange sqref="D3 G3 B5:P5 D14 G14 P14 B16 B27 Y3 AB3 W5:AK5 B23:P23 B29:U74" name="Editable"/>
  </protectedRanges>
  <mergeCells count="136">
    <mergeCell ref="Q74:U74"/>
    <mergeCell ref="B74:P74"/>
    <mergeCell ref="H26:J26"/>
    <mergeCell ref="H27:J27"/>
    <mergeCell ref="K26:P26"/>
    <mergeCell ref="K27:P27"/>
    <mergeCell ref="B71:P71"/>
    <mergeCell ref="B72:P72"/>
    <mergeCell ref="B73:P73"/>
    <mergeCell ref="B37:P37"/>
    <mergeCell ref="B38:P38"/>
    <mergeCell ref="B39:P39"/>
    <mergeCell ref="B40:P40"/>
    <mergeCell ref="B41:P41"/>
    <mergeCell ref="B66:P66"/>
    <mergeCell ref="B67:P67"/>
    <mergeCell ref="B68:P68"/>
    <mergeCell ref="B69:P69"/>
    <mergeCell ref="B70:P70"/>
    <mergeCell ref="B61:P61"/>
    <mergeCell ref="B62:P62"/>
    <mergeCell ref="B63:P63"/>
    <mergeCell ref="B64:P64"/>
    <mergeCell ref="B65:P65"/>
    <mergeCell ref="W2:AK2"/>
    <mergeCell ref="W3:X3"/>
    <mergeCell ref="Z3:AA3"/>
    <mergeCell ref="AC3:AE3"/>
    <mergeCell ref="AF3:AK3"/>
    <mergeCell ref="W4:AK4"/>
    <mergeCell ref="W6:AK6"/>
    <mergeCell ref="W7:AK7"/>
    <mergeCell ref="W8:AB8"/>
    <mergeCell ref="AC8:AK8"/>
    <mergeCell ref="W9:AB9"/>
    <mergeCell ref="AC9:AK9"/>
    <mergeCell ref="B30:P30"/>
    <mergeCell ref="B31:P31"/>
    <mergeCell ref="B32:P32"/>
    <mergeCell ref="B33:P33"/>
    <mergeCell ref="B34:P34"/>
    <mergeCell ref="B35:P35"/>
    <mergeCell ref="B36:P36"/>
    <mergeCell ref="Q30:U30"/>
    <mergeCell ref="Q31:U31"/>
    <mergeCell ref="Q32:U32"/>
    <mergeCell ref="Q33:U33"/>
    <mergeCell ref="Q34:U34"/>
    <mergeCell ref="B28:P28"/>
    <mergeCell ref="B29:P29"/>
    <mergeCell ref="Q28:U28"/>
    <mergeCell ref="Q29:U29"/>
    <mergeCell ref="B27:G27"/>
    <mergeCell ref="B24:P24"/>
    <mergeCell ref="B25:P25"/>
    <mergeCell ref="B22:P22"/>
    <mergeCell ref="B26:G26"/>
    <mergeCell ref="B56:P56"/>
    <mergeCell ref="B57:P57"/>
    <mergeCell ref="B58:P58"/>
    <mergeCell ref="B59:P59"/>
    <mergeCell ref="B60:P60"/>
    <mergeCell ref="B51:P51"/>
    <mergeCell ref="B52:P52"/>
    <mergeCell ref="B53:P53"/>
    <mergeCell ref="B54:P54"/>
    <mergeCell ref="B55:P55"/>
    <mergeCell ref="B42:P42"/>
    <mergeCell ref="B43:P43"/>
    <mergeCell ref="B44:P44"/>
    <mergeCell ref="B45:P45"/>
    <mergeCell ref="B46:P46"/>
    <mergeCell ref="B47:P47"/>
    <mergeCell ref="B48:P48"/>
    <mergeCell ref="B49:P49"/>
    <mergeCell ref="B50:P50"/>
    <mergeCell ref="Q70:U70"/>
    <mergeCell ref="Q71:U71"/>
    <mergeCell ref="Q72:U72"/>
    <mergeCell ref="Q73:U73"/>
    <mergeCell ref="Q65:U65"/>
    <mergeCell ref="Q66:U66"/>
    <mergeCell ref="Q67:U67"/>
    <mergeCell ref="Q68:U68"/>
    <mergeCell ref="Q69:U69"/>
    <mergeCell ref="Q60:U60"/>
    <mergeCell ref="Q61:U61"/>
    <mergeCell ref="Q62:U62"/>
    <mergeCell ref="Q63:U63"/>
    <mergeCell ref="Q64:U64"/>
    <mergeCell ref="Q55:U55"/>
    <mergeCell ref="Q56:U56"/>
    <mergeCell ref="Q57:U57"/>
    <mergeCell ref="Q58:U58"/>
    <mergeCell ref="Q59:U59"/>
    <mergeCell ref="Q50:U50"/>
    <mergeCell ref="Q51:U51"/>
    <mergeCell ref="Q52:U52"/>
    <mergeCell ref="Q53:U53"/>
    <mergeCell ref="Q54:U54"/>
    <mergeCell ref="Q45:U45"/>
    <mergeCell ref="Q46:U46"/>
    <mergeCell ref="Q47:U47"/>
    <mergeCell ref="Q48:U48"/>
    <mergeCell ref="Q49:U49"/>
    <mergeCell ref="Q40:U40"/>
    <mergeCell ref="Q41:U41"/>
    <mergeCell ref="Q42:U42"/>
    <mergeCell ref="Q43:U43"/>
    <mergeCell ref="Q44:U44"/>
    <mergeCell ref="Q35:U35"/>
    <mergeCell ref="Q36:U36"/>
    <mergeCell ref="Q37:U37"/>
    <mergeCell ref="Q38:U38"/>
    <mergeCell ref="Q39:U39"/>
    <mergeCell ref="B2:P2"/>
    <mergeCell ref="B6:P6"/>
    <mergeCell ref="H3:J3"/>
    <mergeCell ref="B7:P7"/>
    <mergeCell ref="K3:P3"/>
    <mergeCell ref="B3:C3"/>
    <mergeCell ref="E3:F3"/>
    <mergeCell ref="B4:P4"/>
    <mergeCell ref="B17:P17"/>
    <mergeCell ref="B8:G8"/>
    <mergeCell ref="B9:G9"/>
    <mergeCell ref="H14:O14"/>
    <mergeCell ref="H8:P8"/>
    <mergeCell ref="H9:P9"/>
    <mergeCell ref="B14:C14"/>
    <mergeCell ref="E14:F14"/>
    <mergeCell ref="H16:P16"/>
    <mergeCell ref="H15:P15"/>
    <mergeCell ref="B13:P13"/>
    <mergeCell ref="B16:G16"/>
    <mergeCell ref="B15:G15"/>
  </mergeCells>
  <conditionalFormatting sqref="P14">
    <cfRule type="expression" dxfId="0" priority="3">
      <formula>$D$14+$G$14&gt;$P$14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030" r:id="rId3" name="btn_find_parsing_rules">
          <controlPr defaultSize="0" autoLine="0" r:id="rId4">
            <anchor moveWithCells="1">
              <from>
                <xdr:col>16</xdr:col>
                <xdr:colOff>28575</xdr:colOff>
                <xdr:row>21</xdr:row>
                <xdr:rowOff>0</xdr:rowOff>
              </from>
              <to>
                <xdr:col>16</xdr:col>
                <xdr:colOff>723900</xdr:colOff>
                <xdr:row>27</xdr:row>
                <xdr:rowOff>9525</xdr:rowOff>
              </to>
            </anchor>
          </controlPr>
        </control>
      </mc:Choice>
      <mc:Fallback>
        <control shapeId="1030" r:id="rId3" name="btn_find_parsing_rules"/>
      </mc:Fallback>
    </mc:AlternateContent>
    <mc:AlternateContent xmlns:mc="http://schemas.openxmlformats.org/markup-compatibility/2006">
      <mc:Choice Requires="x14">
        <control shapeId="1029" r:id="rId5" name="btn_send_decimal">
          <controlPr defaultSize="0" autoLine="0" autoPict="0" r:id="rId6">
            <anchor moveWithCells="1">
              <from>
                <xdr:col>16</xdr:col>
                <xdr:colOff>28575</xdr:colOff>
                <xdr:row>1</xdr:row>
                <xdr:rowOff>9525</xdr:rowOff>
              </from>
              <to>
                <xdr:col>16</xdr:col>
                <xdr:colOff>723900</xdr:colOff>
                <xdr:row>9</xdr:row>
                <xdr:rowOff>9525</xdr:rowOff>
              </to>
            </anchor>
          </controlPr>
        </control>
      </mc:Choice>
      <mc:Fallback>
        <control shapeId="1029" r:id="rId5" name="btn_send_decimal"/>
      </mc:Fallback>
    </mc:AlternateContent>
    <mc:AlternateContent xmlns:mc="http://schemas.openxmlformats.org/markup-compatibility/2006">
      <mc:Choice Requires="x14">
        <control shapeId="1028" r:id="rId7" name="btn_send_binary">
          <controlPr defaultSize="0" autoLine="0" r:id="rId8">
            <anchor moveWithCells="1">
              <from>
                <xdr:col>16</xdr:col>
                <xdr:colOff>28575</xdr:colOff>
                <xdr:row>12</xdr:row>
                <xdr:rowOff>9525</xdr:rowOff>
              </from>
              <to>
                <xdr:col>16</xdr:col>
                <xdr:colOff>723900</xdr:colOff>
                <xdr:row>18</xdr:row>
                <xdr:rowOff>19050</xdr:rowOff>
              </to>
            </anchor>
          </controlPr>
        </control>
      </mc:Choice>
      <mc:Fallback>
        <control shapeId="1028" r:id="rId7" name="btn_send_binary"/>
      </mc:Fallback>
    </mc:AlternateContent>
    <mc:AlternateContent xmlns:mc="http://schemas.openxmlformats.org/markup-compatibility/2006">
      <mc:Choice Requires="x14">
        <control shapeId="1027" r:id="rId9" name="TextBox1">
          <controlPr defaultSize="0" autoLine="0" r:id="rId10">
            <anchor>
              <from>
                <xdr:col>16</xdr:col>
                <xdr:colOff>762000</xdr:colOff>
                <xdr:row>1</xdr:row>
                <xdr:rowOff>9525</xdr:rowOff>
              </from>
              <to>
                <xdr:col>21</xdr:col>
                <xdr:colOff>466725</xdr:colOff>
                <xdr:row>26</xdr:row>
                <xdr:rowOff>161925</xdr:rowOff>
              </to>
            </anchor>
          </controlPr>
        </control>
      </mc:Choice>
      <mc:Fallback>
        <control shapeId="1027" r:id="rId9" name="TextBox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</vt:i4>
      </vt:variant>
    </vt:vector>
  </HeadingPairs>
  <TitlesOfParts>
    <vt:vector size="2" baseType="lpstr">
      <vt:lpstr>Sheet1</vt:lpstr>
      <vt:lpstr>Editable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Jason Hall</dc:creator>
  <cp:lastModifiedBy>Jason Hall</cp:lastModifiedBy>
  <dcterms:created xsi:type="dcterms:W3CDTF">2023-08-22T16:36:18Z</dcterms:created>
  <dcterms:modified xsi:type="dcterms:W3CDTF">2024-02-27T15:51:38Z</dcterms:modified>
</cp:coreProperties>
</file>