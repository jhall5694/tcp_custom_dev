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imeclockplus-my.sharepoint.com/personal/jhall_tcpsoftware_com/Documents/Utilities/parse_badge/"/>
    </mc:Choice>
  </mc:AlternateContent>
  <xr:revisionPtr revIDLastSave="333" documentId="8_{5214E2E7-A70C-4CB4-9F16-DB8E1863DFE3}" xr6:coauthVersionLast="47" xr6:coauthVersionMax="47" xr10:uidLastSave="{5736584D-6CD8-41AA-9DFE-AAEF0834A21A}"/>
  <workbookProtection workbookAlgorithmName="SHA-512" workbookHashValue="4p1EpzmYIlpzU0KQZ5CpJAW0fkawGAN2kx0z5vj5nfysdMvJfHm2CRyLb2syafW+McoqFrdadvJLvfduoLdJDA==" workbookSaltValue="ECgBAkq+tlWeuENZ/VcYVQ==" workbookSpinCount="100000" lockStructure="1"/>
  <bookViews>
    <workbookView xWindow="-28920" yWindow="-120" windowWidth="29040" windowHeight="15720" xr2:uid="{00000000-000D-0000-FFFF-FFFF00000000}"/>
  </bookViews>
  <sheets>
    <sheet name="Sheet1" sheetId="1" r:id="rId1"/>
  </sheets>
  <functionGroups builtInGroupCount="19"/>
  <definedNames>
    <definedName name="Editable">Sheet1!$D$3,Sheet1!$G$3,Sheet1!$B$5,Sheet1!$C$5,Sheet1!$D$5,Sheet1!$E$5,Sheet1!$F$5,Sheet1!$G$5,Sheet1!$H$5,Sheet1!$I$5,Sheet1!$J$5,Sheet1!$K$5,Sheet1!$D$14,Sheet1!$G$14,Sheet1!$P$14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7" i="1" l="1"/>
  <c r="B25" i="1"/>
  <c r="H27" i="1" s="1"/>
  <c r="B7" i="1"/>
  <c r="K3" i="1" s="1"/>
  <c r="AC9" i="1" a="1"/>
  <c r="H16" i="1" a="1"/>
  <c r="K27" i="1" a="1"/>
  <c r="H16" i="1" l="1"/>
  <c r="B18" i="1" s="1"/>
  <c r="B9" i="1"/>
  <c r="K27" i="1"/>
  <c r="AC9" i="1"/>
  <c r="W9" i="1" s="1"/>
  <c r="AF3" i="1"/>
  <c r="H9" i="1" a="1"/>
  <c r="C18" i="1" l="1"/>
  <c r="D18" i="1"/>
  <c r="E18" i="1"/>
  <c r="H9" i="1"/>
  <c r="J18" i="1"/>
  <c r="P18" i="1"/>
  <c r="H18" i="1"/>
  <c r="G18" i="1"/>
  <c r="F18" i="1"/>
  <c r="M18" i="1"/>
  <c r="K18" i="1"/>
  <c r="I18" i="1"/>
  <c r="O18" i="1"/>
  <c r="N18" i="1"/>
  <c r="L1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<sst xmlns="http://schemas.openxmlformats.org/spreadsheetml/2006/main" count="216" uniqueCount="190">
  <si>
    <t>Complete Binary</t>
  </si>
  <si>
    <t>Decimal</t>
  </si>
  <si>
    <t>Binary number (split)</t>
  </si>
  <si>
    <t>Start -&gt;</t>
  </si>
  <si>
    <t>Length -&gt;</t>
  </si>
  <si>
    <t>Partial Binary</t>
  </si>
  <si>
    <t>0000</t>
  </si>
  <si>
    <t>0111</t>
  </si>
  <si>
    <t>Total Length -&gt;</t>
  </si>
  <si>
    <t/>
  </si>
  <si>
    <t>\</t>
  </si>
  <si>
    <t>Desired total binary length -&gt;</t>
  </si>
  <si>
    <t>1011</t>
  </si>
  <si>
    <t>Determine parsing rules</t>
  </si>
  <si>
    <t>Desired Decimal</t>
  </si>
  <si>
    <t>Possible parsing rules (translate then parse)</t>
  </si>
  <si>
    <t>Possible parsing rules (parse then translate)</t>
  </si>
  <si>
    <t>0001</t>
  </si>
  <si>
    <t>1001</t>
  </si>
  <si>
    <t>1100</t>
  </si>
  <si>
    <t>Decimal to Binary  (parse then translate)</t>
  </si>
  <si>
    <t>Binary to Decimal  (parse then translate)</t>
  </si>
  <si>
    <t>Binary to Decimal  (translate then parse)</t>
  </si>
  <si>
    <t>Complete Decimal</t>
  </si>
  <si>
    <t>Partial Decimal</t>
  </si>
  <si>
    <t>Binary Length</t>
  </si>
  <si>
    <t>Full decimal</t>
  </si>
  <si>
    <t>Start : 3    Length : 10   binary : 0000000000</t>
  </si>
  <si>
    <t>Start : 3    Length : 11   binary : 00000000000</t>
  </si>
  <si>
    <t>Start : 3    Length : 12   binary : 000000000000</t>
  </si>
  <si>
    <t>Start : 3    Length : 13   binary : 0000000000000</t>
  </si>
  <si>
    <t>Start : 3    Length : 14   binary : 00000000000000</t>
  </si>
  <si>
    <t>Start : 3    Length : 15   binary : 000000000000000</t>
  </si>
  <si>
    <t>Start : 3    Length : 16   binary : 0000000000000000</t>
  </si>
  <si>
    <t>Start : 3    Length : 17   binary : 00000000000000000</t>
  </si>
  <si>
    <t>Start : 4    Length : 1   binary : 0</t>
  </si>
  <si>
    <t>Start : 4    Length : 2   binary : 00</t>
  </si>
  <si>
    <t>Start : 4    Length : 3   binary : 000</t>
  </si>
  <si>
    <t>Start : 4    Length : 4   binary : 0000</t>
  </si>
  <si>
    <t>Start : 4    Length : 5   binary : 00000</t>
  </si>
  <si>
    <t>Start : 4    Length : 6   binary : 000000</t>
  </si>
  <si>
    <t>Start : 4    Length : 7   binary : 0000000</t>
  </si>
  <si>
    <t>Start : 4    Length : 8   binary : 00000000</t>
  </si>
  <si>
    <t>Start : 4    Length : 9   binary : 000000000</t>
  </si>
  <si>
    <t>Start : 4    Length : 10   binary : 0000000000</t>
  </si>
  <si>
    <t>Start : 4    Length : 11   binary : 00000000000</t>
  </si>
  <si>
    <t>Start : 4    Length : 12   binary : 000000000000</t>
  </si>
  <si>
    <t>Start : 4    Length : 13   binary : 0000000000000</t>
  </si>
  <si>
    <t>Start : 4    Length : 14   binary : 00000000000000</t>
  </si>
  <si>
    <t>Start : 4    Length : 15   binary : 000000000000000</t>
  </si>
  <si>
    <t>Start : 4    Length : 16   binary : 0000000000000000</t>
  </si>
  <si>
    <t>Start : 5    Length : 1   binary : 0</t>
  </si>
  <si>
    <t>Start : 5    Length : 2   binary : 00</t>
  </si>
  <si>
    <t>Start : 5    Length : 3   binary : 000</t>
  </si>
  <si>
    <t>Start : 5    Length : 4   binary : 0000</t>
  </si>
  <si>
    <t>Start : 5    Length : 5   binary : 00000</t>
  </si>
  <si>
    <t>Start : 5    Length : 6   binary : 000000</t>
  </si>
  <si>
    <t>Start : 5    Length : 7   binary : 0000000</t>
  </si>
  <si>
    <t>Start : 5    Length : 8   binary : 00000000</t>
  </si>
  <si>
    <t>Start : 5    Length : 9   binary : 000000000</t>
  </si>
  <si>
    <t>Start : 5    Length : 10   binary : 0000000000</t>
  </si>
  <si>
    <t>Start : 5    Length : 11   binary : 00000000000</t>
  </si>
  <si>
    <t>Start : 5    Length : 12   binary : 000000000000</t>
  </si>
  <si>
    <t>Start : 5    Length : 13   binary : 0000000000000</t>
  </si>
  <si>
    <t>Start : 5    Length : 14   binary : 00000000000000</t>
  </si>
  <si>
    <t>Start : 5    Length : 15   binary : 000000000000000</t>
  </si>
  <si>
    <t>Start : 6    Length : 1   binary : 0</t>
  </si>
  <si>
    <t>Start : 6    Length : 2   binary : 00</t>
  </si>
  <si>
    <t>Start : 6    Length : 3   binary : 000</t>
  </si>
  <si>
    <t>Start : 6    Length : 4   binary : 0000</t>
  </si>
  <si>
    <t>Start : 6    Length : 5   binary : 00000</t>
  </si>
  <si>
    <t>Start : 6    Length : 6   binary : 000000</t>
  </si>
  <si>
    <t>Start : 6    Length : 7   binary : 0000000</t>
  </si>
  <si>
    <t>Start : 6    Length : 8   binary : 00000000</t>
  </si>
  <si>
    <t>Start : 6    Length : 9   binary : 000000000</t>
  </si>
  <si>
    <t>Start : 6    Length : 10   binary : 0000000000</t>
  </si>
  <si>
    <t>Start : 6    Length : 11   binary : 00000000000</t>
  </si>
  <si>
    <t>Start : 6    Length : 12   binary : 000000000000</t>
  </si>
  <si>
    <t>Start : 6    Length : 13   binary : 0000000000000</t>
  </si>
  <si>
    <t>Start : 6    Length : 14   binary : 00000000000000</t>
  </si>
  <si>
    <t>Start : 7    Length : 1   binary : 0</t>
  </si>
  <si>
    <t>Start : 7    Length : 2   binary : 00</t>
  </si>
  <si>
    <t>Start : 7    Length : 3   binary : 000</t>
  </si>
  <si>
    <t>Start : 7    Length : 4   binary : 0000</t>
  </si>
  <si>
    <t>Start : 7    Length : 5   binary : 00000</t>
  </si>
  <si>
    <t>Start : 7    Length : 6   binary : 000000</t>
  </si>
  <si>
    <t>Start : 7    Length : 7   binary : 0000000</t>
  </si>
  <si>
    <t>Start : 7    Length : 8   binary : 00000000</t>
  </si>
  <si>
    <t>Start : 7    Length : 9   binary : 000000000</t>
  </si>
  <si>
    <t>Start : 7    Length : 10   binary : 0000000000</t>
  </si>
  <si>
    <t>Start : 7    Length : 11   binary : 00000000000</t>
  </si>
  <si>
    <t>Start : 7    Length : 12   binary : 000000000000</t>
  </si>
  <si>
    <t>Start : 7    Length : 13   binary : 0000000000000</t>
  </si>
  <si>
    <t>Start : 8    Length : 1   binary : 0</t>
  </si>
  <si>
    <t>Start : 8    Length : 2   binary : 00</t>
  </si>
  <si>
    <t>Start : 8    Length : 3   binary : 000</t>
  </si>
  <si>
    <t>Start : 8    Length : 4   binary : 0000</t>
  </si>
  <si>
    <t>Start : 8    Length : 5   binary : 00000</t>
  </si>
  <si>
    <t>Start : 8    Length : 6   binary : 000000</t>
  </si>
  <si>
    <t>Start : 8    Length : 7   binary : 0000000</t>
  </si>
  <si>
    <t>Start : 8    Length : 8   binary : 00000000</t>
  </si>
  <si>
    <t>Start : 8    Length : 9   binary : 000000000</t>
  </si>
  <si>
    <t>Start : 8    Length : 10   binary : 0000000000</t>
  </si>
  <si>
    <t>Start : 8    Length : 11   binary : 00000000000</t>
  </si>
  <si>
    <t>Start : 8    Length : 12   binary : 000000000000</t>
  </si>
  <si>
    <t>Start : 9    Length : 1   binary : 0</t>
  </si>
  <si>
    <t>Start : 9    Length : 2   binary : 00</t>
  </si>
  <si>
    <t>Start : 9    Length : 3   binary : 000</t>
  </si>
  <si>
    <t>Start : 9    Length : 4   binary : 0000</t>
  </si>
  <si>
    <t>Start : 9    Length : 5   binary : 00000</t>
  </si>
  <si>
    <t>Start : 9    Length : 6   binary : 000000</t>
  </si>
  <si>
    <t>Start : 9    Length : 7   binary : 0000000</t>
  </si>
  <si>
    <t>Start : 9    Length : 8   binary : 00000000</t>
  </si>
  <si>
    <t>Start : 9    Length : 9   binary : 000000000</t>
  </si>
  <si>
    <t>Start : 9    Length : 10   binary : 0000000000</t>
  </si>
  <si>
    <t>Start : 9    Length : 11   binary : 00000000000</t>
  </si>
  <si>
    <t>Start : 10    Length : 1   binary : 0</t>
  </si>
  <si>
    <t>Start : 10    Length : 2   binary : 00</t>
  </si>
  <si>
    <t>Start : 10    Length : 3   binary : 000</t>
  </si>
  <si>
    <t>Start : 10    Length : 4   binary : 0000</t>
  </si>
  <si>
    <t>Start : 10    Length : 5   binary : 00000</t>
  </si>
  <si>
    <t>Start : 10    Length : 6   binary : 000000</t>
  </si>
  <si>
    <t>Start : 10    Length : 7   binary : 0000000</t>
  </si>
  <si>
    <t>Start : 10    Length : 8   binary : 00000000</t>
  </si>
  <si>
    <t>Start : 10    Length : 9   binary : 000000000</t>
  </si>
  <si>
    <t>Start : 10    Length : 10   binary : 0000000000</t>
  </si>
  <si>
    <t>Start : 11    Length : 1   binary : 0</t>
  </si>
  <si>
    <t>Start : 11    Length : 2   binary : 00</t>
  </si>
  <si>
    <t>Start : 11    Length : 3   binary : 000</t>
  </si>
  <si>
    <t>Start : 11    Length : 4   binary : 0000</t>
  </si>
  <si>
    <t>Start : 11    Length : 5   binary : 00000</t>
  </si>
  <si>
    <t>Start : 11    Length : 6   binary : 000000</t>
  </si>
  <si>
    <t>Start : 11    Length : 7   binary : 0000000</t>
  </si>
  <si>
    <t>Start : 11    Length : 8   binary : 00000000</t>
  </si>
  <si>
    <t>Start : 11    Length : 9   binary : 000000000</t>
  </si>
  <si>
    <t>Start : 12    Length : 1   binary : 0</t>
  </si>
  <si>
    <t>Start : 12    Length : 2   binary : 00</t>
  </si>
  <si>
    <t>Start : 12    Length : 3   binary : 000</t>
  </si>
  <si>
    <t>Start : 12    Length : 4   binary : 0000</t>
  </si>
  <si>
    <t>Start : 12    Length : 5   binary : 00000</t>
  </si>
  <si>
    <t>Start : 12    Length : 6   binary : 000000</t>
  </si>
  <si>
    <t>Start : 12    Length : 7   binary : 0000000</t>
  </si>
  <si>
    <t>Start : 12    Length : 8   binary : 00000000</t>
  </si>
  <si>
    <t>Start : 13    Length : 1   binary : 0</t>
  </si>
  <si>
    <t>Start : 13    Length : 2   binary : 00</t>
  </si>
  <si>
    <t>Start : 13    Length : 3   binary : 000</t>
  </si>
  <si>
    <t>Start : 13    Length : 4   binary : 0000</t>
  </si>
  <si>
    <t>Start : 13    Length : 5   binary : 00000</t>
  </si>
  <si>
    <t>Start : 13    Length : 6   binary : 000000</t>
  </si>
  <si>
    <t>Start : 13    Length : 7   binary : 0000000</t>
  </si>
  <si>
    <t>Start : 14    Length : 1   binary : 0</t>
  </si>
  <si>
    <t>Start : 14    Length : 2   binary : 00</t>
  </si>
  <si>
    <t>Start : 14    Length : 3   binary : 000</t>
  </si>
  <si>
    <t>Start : 14    Length : 4   binary : 0000</t>
  </si>
  <si>
    <t>Start : 14    Length : 5   binary : 00000</t>
  </si>
  <si>
    <t>Start : 14    Length : 6   binary : 000000</t>
  </si>
  <si>
    <t>Start : 15    Length : 1   binary : 0</t>
  </si>
  <si>
    <t>Start : 15    Length : 2   binary : 00</t>
  </si>
  <si>
    <t>Start : 15    Length : 3   binary : 000</t>
  </si>
  <si>
    <t>Start : 15    Length : 4   binary : 0000</t>
  </si>
  <si>
    <t>Start : 15    Length : 5   binary : 00000</t>
  </si>
  <si>
    <t>Start : 16    Length : 1   binary : 0</t>
  </si>
  <si>
    <t>Start : 16    Length : 2   binary : 00</t>
  </si>
  <si>
    <t>Start : 16    Length : 3   binary : 000</t>
  </si>
  <si>
    <t>Start : 16    Length : 4   binary : 0000</t>
  </si>
  <si>
    <t>Start : 17    Length : 1   binary : 0</t>
  </si>
  <si>
    <t>Start : 17    Length : 2   binary : 00</t>
  </si>
  <si>
    <t>Start : 17    Length : 3   binary : 000</t>
  </si>
  <si>
    <t>Start : 18    Length : 1   binary : 0</t>
  </si>
  <si>
    <t>Start : 18    Length : 2   binary : 00</t>
  </si>
  <si>
    <t>Start : 19    Length : 1   binary : 0</t>
  </si>
  <si>
    <t>Start : 21    Length : 1   binary : 0</t>
  </si>
  <si>
    <t>Start : 26    Length : 1   binary : 0</t>
  </si>
  <si>
    <t>Start : 30    Length : 1   binary : 0</t>
  </si>
  <si>
    <t>Start : 30    Length : 2   binary : 00</t>
  </si>
  <si>
    <t>Start : 31    Length : 1   binary : 0</t>
  </si>
  <si>
    <t>Start : 35    Length : 1   binary : 0</t>
  </si>
  <si>
    <t>Start : 35    Length : 2   binary : 00</t>
  </si>
  <si>
    <t>Start : 35    Length : 3   binary : 000</t>
  </si>
  <si>
    <t>Start : 36    Length : 1   binary : 0</t>
  </si>
  <si>
    <t>Start : 36    Length : 2   binary : 00</t>
  </si>
  <si>
    <t>1000</t>
  </si>
  <si>
    <t>00</t>
  </si>
  <si>
    <t>1101</t>
  </si>
  <si>
    <t>0101</t>
  </si>
  <si>
    <t>0110</t>
  </si>
  <si>
    <t>0010</t>
  </si>
  <si>
    <t>11</t>
  </si>
  <si>
    <t>Start : 9    Length : 17   binary : 01010110001011001</t>
  </si>
  <si>
    <t>Start : 10    Length : 16   binary : 1010110001011001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</si>
</sst>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 applyAlignment="1">
      <alignment vertical="center"/>
    </xf>
    <xf numFmtId="49" fontId="0" fillId="2" borderId="6" xfId="0" applyNumberFormat="1" applyFill="1" applyBorder="1" applyAlignment="1">
      <alignment vertical="center"/>
    </xf>
    <xf numFmtId="49" fontId="0" fillId="6" borderId="1" xfId="0" applyNumberForma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49" fontId="0" fillId="8" borderId="1" xfId="0" applyNumberFormat="1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9" borderId="9" xfId="0" applyFill="1" applyBorder="1" applyAlignment="1">
      <alignment horizontal="center" vertical="center"/>
    </xf>
    <xf numFmtId="0" fontId="0" fillId="9" borderId="10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theme="5" tint="0.39994506668294322"/>
        </patternFill>
      </fill>
    </dxf>
  </dxfs>
  <tableStyles count="0" defaultTableStyle="TableStyleMedium2" defaultPivotStyle="PivotStyleLight16"/>
  <colors>
    <mruColors>
      <color rgb="FFE2EFDA"/>
      <color rgb="FFD9E1F2"/>
      <color rgb="FFFFF2CC"/>
      <color rgb="FFFCE4D6"/>
      <color rgb="FF99FFCC"/>
      <color rgb="FF66FFFF"/>
      <color rgb="FF00FFFF"/>
      <color rgb="FFCCFFFF"/>
      <color rgb="FFFFE699"/>
      <color rgb="FFF0D1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762000</xdr:colOff>
          <xdr:row>1</xdr:row>
          <xdr:rowOff>9525</xdr:rowOff>
        </xdr:from>
        <xdr:to>
          <xdr:col>21</xdr:col>
          <xdr:colOff>466725</xdr:colOff>
          <xdr:row>26</xdr:row>
          <xdr:rowOff>161925</xdr:rowOff>
        </xdr:to>
        <xdr:sp macro="" textlink="">
          <xdr:nvSpPr>
            <xdr:cNvPr id="1027" name="TextBo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12</xdr:row>
          <xdr:rowOff>9525</xdr:rowOff>
        </xdr:from>
        <xdr:to>
          <xdr:col>16</xdr:col>
          <xdr:colOff>723900</xdr:colOff>
          <xdr:row>18</xdr:row>
          <xdr:rowOff>19050</xdr:rowOff>
        </xdr:to>
        <xdr:sp macro="" textlink="">
          <xdr:nvSpPr>
            <xdr:cNvPr id="1028" name="btn_send_binary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</xdr:row>
          <xdr:rowOff>9525</xdr:rowOff>
        </xdr:from>
        <xdr:to>
          <xdr:col>16</xdr:col>
          <xdr:colOff>723900</xdr:colOff>
          <xdr:row>9</xdr:row>
          <xdr:rowOff>9525</xdr:rowOff>
        </xdr:to>
        <xdr:sp macro="" textlink="">
          <xdr:nvSpPr>
            <xdr:cNvPr id="1029" name="btn_send_decimal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21</xdr:row>
          <xdr:rowOff>0</xdr:rowOff>
        </xdr:from>
        <xdr:to>
          <xdr:col>16</xdr:col>
          <xdr:colOff>723900</xdr:colOff>
          <xdr:row>27</xdr:row>
          <xdr:rowOff>9525</xdr:rowOff>
        </xdr:to>
        <xdr:sp macro="" textlink="">
          <xdr:nvSpPr>
            <xdr:cNvPr id="1030" name="btn_find_parsing_rule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412"/>
  <sheetViews>
    <sheetView tabSelected="1" zoomScaleNormal="100" workbookViewId="0">
      <selection activeCell="Q30" sqref="Q30:U30"/>
    </sheetView>
  </sheetViews>
  <sheetFormatPr defaultColWidth="9.140625" defaultRowHeight="15" x14ac:dyDescent="0.25"/>
  <cols>
    <col min="1" max="1" width="3.42578125" style="1" customWidth="1"/>
    <col min="2" max="16" width="5.7109375" style="1" customWidth="1"/>
    <col min="17" max="17" width="49.28515625" style="1" customWidth="1"/>
    <col min="18" max="22" width="7.7109375" style="1" customWidth="1"/>
    <col min="23" max="37" width="5" style="1" customWidth="1"/>
    <col min="38" max="16384" width="9.140625" style="1"/>
  </cols>
  <sheetData>
    <row r="1" spans="1:45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5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45" x14ac:dyDescent="0.25">
      <c r="A2" s="3"/>
      <c r="B2" s="10" t="s">
        <v>21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2"/>
      <c r="Q2" s="6"/>
      <c r="R2" s="6"/>
      <c r="S2" s="6"/>
      <c r="T2" s="6"/>
      <c r="U2" s="6"/>
      <c r="V2" s="6"/>
      <c r="W2" s="10" t="s">
        <v>22</v>
      </c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2"/>
      <c r="AL2" s="3"/>
      <c r="AM2" s="3"/>
      <c r="AN2" s="3"/>
      <c r="AO2" s="3"/>
      <c r="AP2" s="3"/>
      <c r="AQ2" s="3"/>
      <c r="AR2" s="3"/>
      <c r="AS2" s="3"/>
    </row>
    <row r="3" spans="1:45" x14ac:dyDescent="0.25">
      <c r="A3" s="3"/>
      <c r="B3" s="16" t="s">
        <v>3</v>
      </c>
      <c r="C3" s="17"/>
      <c r="D3" s="8">
        <v>1</v>
      </c>
      <c r="E3" s="22" t="s">
        <v>4</v>
      </c>
      <c r="F3" s="23"/>
      <c r="G3" s="8">
        <v>26</v>
      </c>
      <c r="H3" s="16" t="s">
        <v>8</v>
      </c>
      <c r="I3" s="17"/>
      <c r="J3" s="17"/>
      <c r="K3" s="17">
        <f>LEN(B7)</f>
        <v>26</v>
      </c>
      <c r="L3" s="17"/>
      <c r="M3" s="17"/>
      <c r="N3" s="17"/>
      <c r="O3" s="17"/>
      <c r="P3" s="21"/>
      <c r="Q3" s="6"/>
      <c r="R3" s="6"/>
      <c r="S3" s="6"/>
      <c r="T3" s="6"/>
      <c r="U3" s="6"/>
      <c r="V3" s="6"/>
      <c r="W3" s="16" t="s">
        <v>3</v>
      </c>
      <c r="X3" s="17"/>
      <c r="Y3" s="8">
        <v>1</v>
      </c>
      <c r="Z3" s="22" t="s">
        <v>4</v>
      </c>
      <c r="AA3" s="23"/>
      <c r="AB3" s="8">
        <v>5</v>
      </c>
      <c r="AC3" s="16" t="s">
        <v>8</v>
      </c>
      <c r="AD3" s="17"/>
      <c r="AE3" s="17"/>
      <c r="AF3" s="17">
        <f>LEN(W7)</f>
        <v>32</v>
      </c>
      <c r="AG3" s="17"/>
      <c r="AH3" s="17"/>
      <c r="AI3" s="17"/>
      <c r="AJ3" s="17"/>
      <c r="AK3" s="21"/>
      <c r="AL3" s="3"/>
      <c r="AM3" s="3"/>
      <c r="AN3" s="3"/>
      <c r="AO3" s="3"/>
      <c r="AP3" s="3"/>
      <c r="AQ3" s="3"/>
      <c r="AR3" s="3"/>
      <c r="AS3" s="3"/>
    </row>
    <row r="4" spans="1:45" x14ac:dyDescent="0.25">
      <c r="A4" s="3"/>
      <c r="B4" s="24" t="s">
        <v>2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6"/>
      <c r="Q4" s="6"/>
      <c r="R4" s="6"/>
      <c r="S4" s="6"/>
      <c r="T4" s="6"/>
      <c r="U4" s="6"/>
      <c r="V4" s="6"/>
      <c r="W4" s="24" t="s">
        <v>2</v>
      </c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6"/>
      <c r="AL4" s="3"/>
      <c r="AM4" s="3"/>
      <c r="AN4" s="3"/>
      <c r="AO4" s="3"/>
      <c r="AP4" s="3"/>
      <c r="AQ4" s="3"/>
      <c r="AR4" s="3"/>
      <c r="AS4" s="3"/>
    </row>
    <row r="5" spans="1:45" x14ac:dyDescent="0.25">
      <c r="A5" s="3"/>
      <c r="B5" s="9" t="s">
        <v>181</v>
      </c>
      <c r="C5" s="9" t="s">
        <v>6</v>
      </c>
      <c r="D5" s="9" t="s">
        <v>181</v>
      </c>
      <c r="E5" s="9" t="s">
        <v>6</v>
      </c>
      <c r="F5" s="9" t="s">
        <v>6</v>
      </c>
      <c r="G5" s="9" t="s">
        <v>17</v>
      </c>
      <c r="H5" s="9" t="s">
        <v>182</v>
      </c>
      <c r="I5" s="9"/>
      <c r="J5" s="9"/>
      <c r="K5" s="9"/>
      <c r="L5" s="9"/>
      <c r="M5" s="9"/>
      <c r="N5" s="9"/>
      <c r="O5" s="9"/>
      <c r="P5" s="9" t="s">
        <v>9</v>
      </c>
      <c r="Q5" s="6"/>
      <c r="R5" s="6"/>
      <c r="S5" s="6"/>
      <c r="T5" s="6"/>
      <c r="U5" s="6"/>
      <c r="V5" s="6"/>
      <c r="W5" s="9" t="s">
        <v>6</v>
      </c>
      <c r="X5" s="9" t="s">
        <v>6</v>
      </c>
      <c r="Y5" s="9" t="s">
        <v>6</v>
      </c>
      <c r="Z5" s="9" t="s">
        <v>17</v>
      </c>
      <c r="AA5" s="9" t="s">
        <v>7</v>
      </c>
      <c r="AB5" s="9" t="s">
        <v>12</v>
      </c>
      <c r="AC5" s="9" t="s">
        <v>18</v>
      </c>
      <c r="AD5" s="9" t="s">
        <v>19</v>
      </c>
      <c r="AE5" s="9"/>
      <c r="AF5" s="9"/>
      <c r="AG5" s="9"/>
      <c r="AH5" s="9" t="s">
        <v>9</v>
      </c>
      <c r="AI5" s="9" t="s">
        <v>9</v>
      </c>
      <c r="AJ5" s="9" t="s">
        <v>9</v>
      </c>
      <c r="AK5" s="9" t="s">
        <v>9</v>
      </c>
      <c r="AL5" s="3"/>
      <c r="AM5" s="3"/>
      <c r="AN5" s="3"/>
      <c r="AO5" s="3"/>
      <c r="AP5" s="3"/>
      <c r="AQ5" s="3"/>
      <c r="AR5" s="3"/>
      <c r="AS5" s="3"/>
    </row>
    <row r="6" spans="1:45" x14ac:dyDescent="0.25">
      <c r="A6" s="3"/>
      <c r="B6" s="13" t="s">
        <v>0</v>
      </c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5"/>
      <c r="Q6" s="6"/>
      <c r="R6" s="6"/>
      <c r="S6" s="6"/>
      <c r="T6" s="6"/>
      <c r="U6" s="6"/>
      <c r="V6" s="6"/>
      <c r="W6" s="13" t="s">
        <v>0</v>
      </c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5"/>
      <c r="AL6" s="3"/>
      <c r="AM6" s="3"/>
      <c r="AN6" s="3"/>
      <c r="AO6" s="3"/>
      <c r="AP6" s="3"/>
      <c r="AQ6" s="3"/>
      <c r="AR6" s="3"/>
      <c r="AS6" s="3"/>
    </row>
    <row r="7" spans="1:45" x14ac:dyDescent="0.25">
      <c r="A7" s="3"/>
      <c r="B7" s="18" t="str">
        <f>B5&amp;C5&amp;D5&amp;E5&amp;F5&amp;G5&amp;H5&amp;I5&amp;J5&amp;K5&amp;L5&amp;M5&amp;N5&amp;O5&amp;P5</f>
        <v>10000000100000000000000100</v>
      </c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20"/>
      <c r="Q7" s="6"/>
      <c r="R7" s="6"/>
      <c r="S7" s="6"/>
      <c r="T7" s="6"/>
      <c r="U7" s="6"/>
      <c r="V7" s="6"/>
      <c r="W7" s="18" t="str">
        <f>W5&amp;X5&amp;Y5&amp;Z5&amp;AA5&amp;AB5&amp;AC5&amp;AD5&amp;AE5&amp;AF5&amp;AG5&amp;AH5&amp;AI5&amp;AJ5&amp;AK5</f>
        <v>00000000000000010111101110011100</v>
      </c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20"/>
      <c r="AL7" s="3"/>
      <c r="AM7" s="3"/>
      <c r="AN7" s="3"/>
      <c r="AO7" s="3"/>
      <c r="AP7" s="3"/>
      <c r="AQ7" s="3"/>
      <c r="AR7" s="3"/>
      <c r="AS7" s="3"/>
    </row>
    <row r="8" spans="1:45" x14ac:dyDescent="0.25">
      <c r="A8" s="3"/>
      <c r="B8" s="27" t="s">
        <v>5</v>
      </c>
      <c r="C8" s="28"/>
      <c r="D8" s="28"/>
      <c r="E8" s="28"/>
      <c r="F8" s="28"/>
      <c r="G8" s="29"/>
      <c r="H8" s="33" t="s">
        <v>1</v>
      </c>
      <c r="I8" s="34"/>
      <c r="J8" s="34"/>
      <c r="K8" s="34"/>
      <c r="L8" s="34"/>
      <c r="M8" s="34"/>
      <c r="N8" s="34"/>
      <c r="O8" s="34"/>
      <c r="P8" s="35"/>
      <c r="Q8" s="6"/>
      <c r="R8" s="6"/>
      <c r="S8" s="6"/>
      <c r="T8" s="6"/>
      <c r="U8" s="6"/>
      <c r="V8" s="6"/>
      <c r="W8" s="27" t="s">
        <v>24</v>
      </c>
      <c r="X8" s="28"/>
      <c r="Y8" s="28"/>
      <c r="Z8" s="28"/>
      <c r="AA8" s="28"/>
      <c r="AB8" s="29"/>
      <c r="AC8" s="33" t="s">
        <v>23</v>
      </c>
      <c r="AD8" s="34"/>
      <c r="AE8" s="34"/>
      <c r="AF8" s="34"/>
      <c r="AG8" s="34"/>
      <c r="AH8" s="34"/>
      <c r="AI8" s="34"/>
      <c r="AJ8" s="34"/>
      <c r="AK8" s="35"/>
      <c r="AL8" s="3"/>
      <c r="AM8" s="3"/>
      <c r="AN8" s="3"/>
      <c r="AO8" s="3"/>
      <c r="AP8" s="3"/>
      <c r="AQ8" s="3"/>
      <c r="AR8" s="3"/>
      <c r="AS8" s="3"/>
    </row>
    <row r="9" spans="1:45" x14ac:dyDescent="0.25">
      <c r="A9" s="3"/>
      <c r="B9" s="30" t="str">
        <f>IF(AND(ISNUMBER(D3),ISNUMBER(G3),NOT(ISBLANK(B7))),MID(B7,D3,G3),"error")</f>
        <v>10000000100000000000000100</v>
      </c>
      <c r="C9" s="31"/>
      <c r="D9" s="31"/>
      <c r="E9" s="31"/>
      <c r="F9" s="31"/>
      <c r="G9" s="32"/>
      <c r="H9" s="36" cm="1">
        <f t="array" ref="H9">binary_to_decimal(B9)</f>
        <v>33685508</v>
      </c>
      <c r="I9" s="37"/>
      <c r="J9" s="37"/>
      <c r="K9" s="37"/>
      <c r="L9" s="37"/>
      <c r="M9" s="37"/>
      <c r="N9" s="37"/>
      <c r="O9" s="37"/>
      <c r="P9" s="38"/>
      <c r="Q9" s="4"/>
      <c r="R9" s="4"/>
      <c r="S9" s="4"/>
      <c r="T9" s="4"/>
      <c r="U9" s="4"/>
      <c r="V9" s="4"/>
      <c r="W9" s="30" t="str">
        <f>MID(AC9,Y3,AB3)</f>
        <v>97180</v>
      </c>
      <c r="X9" s="31"/>
      <c r="Y9" s="31"/>
      <c r="Z9" s="31"/>
      <c r="AA9" s="31"/>
      <c r="AB9" s="32"/>
      <c r="AC9" s="36" cm="1">
        <f t="array" ref="AC9">binary_to_decimal(W7)</f>
        <v>97180</v>
      </c>
      <c r="AD9" s="37"/>
      <c r="AE9" s="37"/>
      <c r="AF9" s="37"/>
      <c r="AG9" s="37"/>
      <c r="AH9" s="37"/>
      <c r="AI9" s="37"/>
      <c r="AJ9" s="37"/>
      <c r="AK9" s="38"/>
      <c r="AL9" s="3"/>
      <c r="AM9" s="3"/>
      <c r="AN9" s="3"/>
      <c r="AO9" s="3"/>
      <c r="AP9" s="3"/>
      <c r="AQ9" s="3"/>
      <c r="AR9" s="3"/>
      <c r="AS9" s="3"/>
    </row>
    <row r="10" spans="1:45" x14ac:dyDescent="0.25">
      <c r="A10" s="3"/>
      <c r="B10" s="3"/>
      <c r="C10" s="4"/>
      <c r="D10" s="4"/>
      <c r="E10" s="4"/>
      <c r="F10" s="4"/>
      <c r="G10" s="4"/>
      <c r="H10" s="4" t="s">
        <v>10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</row>
    <row r="11" spans="1:45" x14ac:dyDescent="0.25">
      <c r="A11" s="3"/>
      <c r="B11" s="3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</row>
    <row r="12" spans="1:45" x14ac:dyDescent="0.25">
      <c r="A12" s="3"/>
      <c r="B12" s="3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</row>
    <row r="13" spans="1:45" x14ac:dyDescent="0.25">
      <c r="A13" s="3"/>
      <c r="B13" s="10" t="s">
        <v>20</v>
      </c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2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3"/>
      <c r="AM13" s="3"/>
      <c r="AN13" s="3"/>
      <c r="AO13" s="3"/>
      <c r="AP13" s="3"/>
      <c r="AQ13" s="3"/>
      <c r="AR13" s="3"/>
      <c r="AS13" s="3"/>
    </row>
    <row r="14" spans="1:45" x14ac:dyDescent="0.25">
      <c r="A14" s="3"/>
      <c r="B14" s="16" t="s">
        <v>3</v>
      </c>
      <c r="C14" s="17"/>
      <c r="D14" s="8">
        <v>22</v>
      </c>
      <c r="E14" s="39" t="s">
        <v>4</v>
      </c>
      <c r="F14" s="40"/>
      <c r="G14" s="8">
        <v>34</v>
      </c>
      <c r="H14" s="16" t="s">
        <v>11</v>
      </c>
      <c r="I14" s="17"/>
      <c r="J14" s="17"/>
      <c r="K14" s="17"/>
      <c r="L14" s="17"/>
      <c r="M14" s="17"/>
      <c r="N14" s="17"/>
      <c r="O14" s="17"/>
      <c r="P14" s="8">
        <v>56</v>
      </c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3"/>
      <c r="AM14" s="3"/>
      <c r="AN14" s="3"/>
      <c r="AO14" s="3"/>
      <c r="AP14" s="3"/>
      <c r="AQ14" s="3"/>
      <c r="AR14" s="3"/>
      <c r="AS14" s="3"/>
    </row>
    <row r="15" spans="1:45" x14ac:dyDescent="0.25">
      <c r="A15" s="3"/>
      <c r="B15" s="33" t="s">
        <v>1</v>
      </c>
      <c r="C15" s="34"/>
      <c r="D15" s="34"/>
      <c r="E15" s="34"/>
      <c r="F15" s="34"/>
      <c r="G15" s="35"/>
      <c r="H15" s="41" t="s">
        <v>0</v>
      </c>
      <c r="I15" s="42"/>
      <c r="J15" s="42"/>
      <c r="K15" s="42"/>
      <c r="L15" s="42"/>
      <c r="M15" s="42"/>
      <c r="N15" s="42"/>
      <c r="O15" s="42"/>
      <c r="P15" s="43"/>
      <c r="Q15" s="4" t="s">
        <v>0</v>
      </c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3"/>
      <c r="AM15" s="3"/>
      <c r="AN15" s="3"/>
      <c r="AO15" s="3"/>
      <c r="AP15" s="3"/>
      <c r="AQ15" s="3"/>
      <c r="AR15" s="3"/>
      <c r="AS15" s="3"/>
    </row>
    <row r="16" spans="1:45" x14ac:dyDescent="0.25">
      <c r="A16" s="3"/>
      <c r="B16" s="44">
        <v>5000044173</v>
      </c>
      <c r="C16" s="45"/>
      <c r="D16" s="45"/>
      <c r="E16" s="45"/>
      <c r="F16" s="45"/>
      <c r="G16" s="46"/>
      <c r="H16" s="18" t="str" cm="1">
        <f t="array" ref="H16">IF(AND(ISNUMBER(D14),ISNUMBER(G14),ISNUMBER(B16),ISNUMBER(P14)),decimal_to_binary(B16,D14,G14,P14),"error")</f>
        <v>00000000000000000000001001010100000011010011110100011010</v>
      </c>
      <c r="I16" s="19"/>
      <c r="J16" s="19"/>
      <c r="K16" s="19"/>
      <c r="L16" s="19"/>
      <c r="M16" s="19"/>
      <c r="N16" s="19"/>
      <c r="O16" s="19"/>
      <c r="P16" s="20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3"/>
      <c r="AM16" s="3"/>
      <c r="AN16" s="3"/>
      <c r="AO16" s="3"/>
      <c r="AP16" s="3"/>
      <c r="AQ16" s="3"/>
      <c r="AR16" s="3"/>
      <c r="AS16" s="3"/>
    </row>
    <row r="17" spans="1:45" x14ac:dyDescent="0.25">
      <c r="A17" s="3"/>
      <c r="B17" s="13" t="s">
        <v>2</v>
      </c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5"/>
      <c r="Q17" s="3"/>
      <c r="R17" s="3"/>
      <c r="S17" s="3"/>
      <c r="T17" s="3"/>
      <c r="U17" s="3"/>
      <c r="V17" s="3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3"/>
      <c r="AM17" s="3"/>
      <c r="AN17" s="3"/>
      <c r="AO17" s="3"/>
      <c r="AP17" s="3"/>
      <c r="AQ17" s="3"/>
      <c r="AR17" s="3"/>
      <c r="AS17" s="3"/>
    </row>
    <row r="18" spans="1:45" s="2" customFormat="1" x14ac:dyDescent="0.25">
      <c r="A18" s="4"/>
      <c r="B18" s="7" t="str">
        <f t="shared" ref="B18:P18" si="0">MID($H16,(COLUMN(B17) - 2) *4 + 1,4)</f>
        <v>0000</v>
      </c>
      <c r="C18" s="7" t="str">
        <f t="shared" si="0"/>
        <v>0000</v>
      </c>
      <c r="D18" s="7" t="str">
        <f t="shared" si="0"/>
        <v>0000</v>
      </c>
      <c r="E18" s="7" t="str">
        <f t="shared" si="0"/>
        <v>0000</v>
      </c>
      <c r="F18" s="7" t="str">
        <f t="shared" si="0"/>
        <v>0000</v>
      </c>
      <c r="G18" s="7" t="str">
        <f t="shared" si="0"/>
        <v>0010</v>
      </c>
      <c r="H18" s="7" t="str">
        <f t="shared" si="0"/>
        <v>0101</v>
      </c>
      <c r="I18" s="7" t="str">
        <f t="shared" si="0"/>
        <v>0100</v>
      </c>
      <c r="J18" s="7" t="str">
        <f t="shared" si="0"/>
        <v>0000</v>
      </c>
      <c r="K18" s="7" t="str">
        <f t="shared" si="0"/>
        <v>1101</v>
      </c>
      <c r="L18" s="7" t="str">
        <f t="shared" si="0"/>
        <v>0011</v>
      </c>
      <c r="M18" s="7" t="str">
        <f t="shared" si="0"/>
        <v>1101</v>
      </c>
      <c r="N18" s="7" t="str">
        <f t="shared" si="0"/>
        <v>0001</v>
      </c>
      <c r="O18" s="7" t="str">
        <f t="shared" si="0"/>
        <v>1010</v>
      </c>
      <c r="P18" s="7" t="str">
        <f t="shared" si="0"/>
        <v/>
      </c>
      <c r="Q18" s="4"/>
      <c r="R18" s="4"/>
      <c r="S18" s="3"/>
      <c r="T18" s="3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</row>
    <row r="19" spans="1:45" s="2" customFormat="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</row>
    <row r="20" spans="1:45" s="2" customForma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</row>
    <row r="21" spans="1:45" s="2" customFormat="1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</row>
    <row r="22" spans="1:45" s="2" customFormat="1" x14ac:dyDescent="0.25">
      <c r="A22" s="4"/>
      <c r="B22" s="10" t="s">
        <v>13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2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3"/>
      <c r="AG22" s="3"/>
      <c r="AH22" s="3"/>
      <c r="AI22" s="3"/>
      <c r="AJ22" s="3"/>
      <c r="AK22" s="3"/>
      <c r="AL22" s="4"/>
      <c r="AM22" s="4"/>
      <c r="AN22" s="4"/>
      <c r="AO22" s="4"/>
      <c r="AP22" s="4"/>
      <c r="AQ22" s="4"/>
      <c r="AR22" s="4"/>
      <c r="AS22" s="4"/>
    </row>
    <row r="23" spans="1:45" s="2" customFormat="1" x14ac:dyDescent="0.25">
      <c r="A23" s="4"/>
      <c r="B23" s="9" t="s">
        <v>7</v>
      </c>
      <c r="C23" s="9" t="s">
        <v>183</v>
      </c>
      <c r="D23" s="9" t="s">
        <v>184</v>
      </c>
      <c r="E23" s="9" t="s">
        <v>185</v>
      </c>
      <c r="F23" s="9" t="s">
        <v>186</v>
      </c>
      <c r="G23" s="9" t="s">
        <v>19</v>
      </c>
      <c r="H23" s="9" t="s">
        <v>187</v>
      </c>
      <c r="I23" s="9"/>
      <c r="J23" s="9"/>
      <c r="K23" s="9"/>
      <c r="L23" s="9"/>
      <c r="M23" s="9"/>
      <c r="N23" s="9"/>
      <c r="O23" s="9"/>
      <c r="P23" s="9" t="s">
        <v>9</v>
      </c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3"/>
      <c r="AG23" s="3"/>
      <c r="AH23" s="3"/>
      <c r="AI23" s="3"/>
      <c r="AJ23" s="3"/>
      <c r="AK23" s="3"/>
      <c r="AL23" s="4"/>
      <c r="AM23" s="4"/>
      <c r="AN23" s="4"/>
      <c r="AO23" s="4"/>
      <c r="AP23" s="4"/>
      <c r="AQ23" s="4"/>
      <c r="AR23" s="4"/>
      <c r="AS23" s="4"/>
    </row>
    <row r="24" spans="1:45" s="2" customFormat="1" x14ac:dyDescent="0.25">
      <c r="A24" s="4"/>
      <c r="B24" s="41" t="s">
        <v>0</v>
      </c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3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3"/>
      <c r="AG24" s="3"/>
      <c r="AH24" s="3"/>
      <c r="AI24" s="3"/>
      <c r="AJ24" s="3"/>
      <c r="AK24" s="3"/>
      <c r="AL24" s="4"/>
      <c r="AM24" s="4"/>
      <c r="AN24" s="4"/>
      <c r="AO24" s="4"/>
      <c r="AP24" s="4"/>
      <c r="AQ24" s="4"/>
      <c r="AR24" s="4"/>
      <c r="AS24" s="4"/>
    </row>
    <row r="25" spans="1:45" s="2" customFormat="1" x14ac:dyDescent="0.25">
      <c r="A25" s="4"/>
      <c r="B25" s="18" t="str">
        <f>B23&amp;C23&amp;D23&amp;E23&amp;F23&amp;G23&amp;H23&amp;I23&amp;J23&amp;K23&amp;L23&amp;M23&amp;N23&amp;O23&amp;P23</f>
        <v>01111101010101100010110011</v>
      </c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20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3"/>
      <c r="AG25" s="3"/>
      <c r="AH25" s="3"/>
      <c r="AI25" s="3"/>
      <c r="AJ25" s="3"/>
      <c r="AK25" s="3"/>
      <c r="AL25" s="4"/>
      <c r="AM25" s="4"/>
      <c r="AN25" s="4"/>
      <c r="AO25" s="4"/>
      <c r="AP25" s="4"/>
      <c r="AQ25" s="4"/>
      <c r="AR25" s="4"/>
      <c r="AS25" s="4"/>
    </row>
    <row r="26" spans="1:45" s="2" customFormat="1" x14ac:dyDescent="0.25">
      <c r="A26" s="4"/>
      <c r="B26" s="33" t="s">
        <v>14</v>
      </c>
      <c r="C26" s="34"/>
      <c r="D26" s="34"/>
      <c r="E26" s="34"/>
      <c r="F26" s="34"/>
      <c r="G26" s="35"/>
      <c r="H26" s="41" t="s">
        <v>25</v>
      </c>
      <c r="I26" s="42"/>
      <c r="J26" s="43"/>
      <c r="K26" s="33" t="s">
        <v>26</v>
      </c>
      <c r="L26" s="34"/>
      <c r="M26" s="34"/>
      <c r="N26" s="34"/>
      <c r="O26" s="34"/>
      <c r="P26" s="35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3"/>
      <c r="AG26" s="3"/>
      <c r="AH26" s="3"/>
      <c r="AI26" s="3"/>
      <c r="AJ26" s="3"/>
      <c r="AK26" s="3"/>
      <c r="AL26" s="4"/>
      <c r="AM26" s="4"/>
      <c r="AN26" s="4"/>
      <c r="AO26" s="4"/>
      <c r="AP26" s="4"/>
      <c r="AQ26" s="4"/>
      <c r="AR26" s="4"/>
      <c r="AS26" s="4"/>
    </row>
    <row r="27" spans="1:45" s="2" customFormat="1" x14ac:dyDescent="0.25">
      <c r="A27" s="4"/>
      <c r="B27" s="44">
        <v>44121</v>
      </c>
      <c r="C27" s="45"/>
      <c r="D27" s="45"/>
      <c r="E27" s="45"/>
      <c r="F27" s="45"/>
      <c r="G27" s="46"/>
      <c r="H27" s="18">
        <f>LEN(B25)</f>
        <v>26</v>
      </c>
      <c r="I27" s="19"/>
      <c r="J27" s="20"/>
      <c r="K27" s="37" cm="1">
        <f t="array" ref="K27">binary_to_decimal(B25)</f>
        <v>32856243</v>
      </c>
      <c r="L27" s="37"/>
      <c r="M27" s="37"/>
      <c r="N27" s="37"/>
      <c r="O27" s="37"/>
      <c r="P27" s="38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3"/>
      <c r="AG27" s="3"/>
      <c r="AH27" s="3"/>
      <c r="AI27" s="3"/>
      <c r="AJ27" s="3"/>
      <c r="AK27" s="3"/>
      <c r="AL27" s="4"/>
      <c r="AM27" s="4"/>
      <c r="AN27" s="4"/>
      <c r="AO27" s="4"/>
      <c r="AP27" s="4"/>
      <c r="AQ27" s="4"/>
      <c r="AR27" s="4"/>
      <c r="AS27" s="4"/>
    </row>
    <row r="28" spans="1:45" x14ac:dyDescent="0.25">
      <c r="A28" s="3"/>
      <c r="B28" s="47" t="s">
        <v>15</v>
      </c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9"/>
      <c r="Q28" s="47" t="s">
        <v>16</v>
      </c>
      <c r="R28" s="48"/>
      <c r="S28" s="48"/>
      <c r="T28" s="48"/>
      <c r="U28" s="48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</row>
    <row r="29" spans="1:45" x14ac:dyDescent="0.25">
      <c r="A29" s="3"/>
      <c r="B29" s="10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2"/>
      <c r="Q29" s="10" t="s">
        <v>188</v>
      </c>
      <c r="R29" s="11"/>
      <c r="S29" s="11"/>
      <c r="T29" s="11"/>
      <c r="U29" s="11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</row>
    <row r="30" spans="1:45" x14ac:dyDescent="0.25">
      <c r="A30" s="3"/>
      <c r="B30" s="10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2"/>
      <c r="Q30" s="10" t="s">
        <v>189</v>
      </c>
      <c r="R30" s="11"/>
      <c r="S30" s="11"/>
      <c r="T30" s="11"/>
      <c r="U30" s="11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</row>
    <row r="31" spans="1:45" x14ac:dyDescent="0.25">
      <c r="A31" s="3"/>
      <c r="B31" s="10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2"/>
      <c r="Q31" s="10"/>
      <c r="R31" s="11"/>
      <c r="S31" s="11"/>
      <c r="T31" s="11"/>
      <c r="U31" s="11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</row>
    <row r="32" spans="1:45" x14ac:dyDescent="0.25">
      <c r="A32" s="3"/>
      <c r="B32" s="10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2"/>
      <c r="Q32" s="10"/>
      <c r="R32" s="11"/>
      <c r="S32" s="11"/>
      <c r="T32" s="11"/>
      <c r="U32" s="11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</row>
    <row r="33" spans="1:45" x14ac:dyDescent="0.25">
      <c r="A33" s="3"/>
      <c r="B33" s="10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2"/>
      <c r="Q33" s="10"/>
      <c r="R33" s="11"/>
      <c r="S33" s="11"/>
      <c r="T33" s="11"/>
      <c r="U33" s="11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</row>
    <row r="34" spans="1:45" x14ac:dyDescent="0.25">
      <c r="A34" s="3"/>
      <c r="B34" s="10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2"/>
      <c r="Q34" s="10"/>
      <c r="R34" s="11"/>
      <c r="S34" s="11"/>
      <c r="T34" s="11"/>
      <c r="U34" s="11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</row>
    <row r="35" spans="1:45" x14ac:dyDescent="0.25">
      <c r="A35" s="3"/>
      <c r="B35" s="10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2"/>
      <c r="Q35" s="10"/>
      <c r="R35" s="11"/>
      <c r="S35" s="11"/>
      <c r="T35" s="11"/>
      <c r="U35" s="11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</row>
    <row r="36" spans="1:45" x14ac:dyDescent="0.25">
      <c r="A36" s="3"/>
      <c r="B36" s="10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2"/>
      <c r="Q36" s="10"/>
      <c r="R36" s="11"/>
      <c r="S36" s="11"/>
      <c r="T36" s="11"/>
      <c r="U36" s="11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</row>
    <row r="37" spans="1:45" x14ac:dyDescent="0.25">
      <c r="A37" s="3"/>
      <c r="B37" s="10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2"/>
      <c r="Q37" s="10"/>
      <c r="R37" s="11"/>
      <c r="S37" s="11"/>
      <c r="T37" s="11"/>
      <c r="U37" s="11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</row>
    <row r="38" spans="1:45" x14ac:dyDescent="0.25">
      <c r="A38" s="3"/>
      <c r="B38" s="10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2"/>
      <c r="Q38" s="10"/>
      <c r="R38" s="11"/>
      <c r="S38" s="11"/>
      <c r="T38" s="11"/>
      <c r="U38" s="11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</row>
    <row r="39" spans="1:45" x14ac:dyDescent="0.25">
      <c r="A39" s="3"/>
      <c r="B39" s="10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2"/>
      <c r="Q39" s="10"/>
      <c r="R39" s="11"/>
      <c r="S39" s="11"/>
      <c r="T39" s="11"/>
      <c r="U39" s="11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</row>
    <row r="40" spans="1:45" x14ac:dyDescent="0.25">
      <c r="A40" s="3"/>
      <c r="B40" s="10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2"/>
      <c r="Q40" s="10"/>
      <c r="R40" s="11"/>
      <c r="S40" s="11"/>
      <c r="T40" s="11"/>
      <c r="U40" s="11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</row>
    <row r="41" spans="1:45" x14ac:dyDescent="0.25">
      <c r="A41" s="3"/>
      <c r="B41" s="10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2"/>
      <c r="Q41" s="10"/>
      <c r="R41" s="11"/>
      <c r="S41" s="11"/>
      <c r="T41" s="11"/>
      <c r="U41" s="11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</row>
    <row r="42" spans="1:45" x14ac:dyDescent="0.25">
      <c r="A42" s="3"/>
      <c r="B42" s="10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2"/>
      <c r="Q42" s="10"/>
      <c r="R42" s="11"/>
      <c r="S42" s="11"/>
      <c r="T42" s="11"/>
      <c r="U42" s="11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</row>
    <row r="43" spans="1:45" x14ac:dyDescent="0.25">
      <c r="A43" s="3"/>
      <c r="B43" s="10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2"/>
      <c r="Q43" s="10"/>
      <c r="R43" s="11"/>
      <c r="S43" s="11"/>
      <c r="T43" s="11"/>
      <c r="U43" s="11"/>
      <c r="V43" s="4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</row>
    <row r="44" spans="1:45" x14ac:dyDescent="0.25">
      <c r="A44" s="3"/>
      <c r="B44" s="10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2"/>
      <c r="Q44" s="10"/>
      <c r="R44" s="11"/>
      <c r="S44" s="11"/>
      <c r="T44" s="11"/>
      <c r="U44" s="11"/>
      <c r="V44" s="4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</row>
    <row r="45" spans="1:45" x14ac:dyDescent="0.25">
      <c r="A45" s="3"/>
      <c r="B45" s="10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2"/>
      <c r="Q45" s="10"/>
      <c r="R45" s="11"/>
      <c r="S45" s="11"/>
      <c r="T45" s="11"/>
      <c r="U45" s="11"/>
      <c r="V45" s="4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</row>
    <row r="46" spans="1:45" x14ac:dyDescent="0.25">
      <c r="A46" s="3"/>
      <c r="B46" s="10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2"/>
      <c r="Q46" s="10"/>
      <c r="R46" s="11"/>
      <c r="S46" s="11"/>
      <c r="T46" s="11"/>
      <c r="U46" s="11"/>
      <c r="V46" s="4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</row>
    <row r="47" spans="1:45" x14ac:dyDescent="0.25">
      <c r="A47" s="3"/>
      <c r="B47" s="10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2"/>
      <c r="Q47" s="10"/>
      <c r="R47" s="11"/>
      <c r="S47" s="11"/>
      <c r="T47" s="11"/>
      <c r="U47" s="11"/>
      <c r="V47" s="4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</row>
    <row r="48" spans="1:45" x14ac:dyDescent="0.25">
      <c r="A48" s="3"/>
      <c r="B48" s="10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2"/>
      <c r="Q48" s="10"/>
      <c r="R48" s="11"/>
      <c r="S48" s="11"/>
      <c r="T48" s="11"/>
      <c r="U48" s="11"/>
      <c r="V48" s="4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</row>
    <row r="49" spans="1:45" x14ac:dyDescent="0.25">
      <c r="A49" s="3"/>
      <c r="B49" s="10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2"/>
      <c r="Q49" s="10"/>
      <c r="R49" s="11"/>
      <c r="S49" s="11"/>
      <c r="T49" s="11"/>
      <c r="U49" s="11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</row>
    <row r="50" spans="1:45" x14ac:dyDescent="0.25">
      <c r="A50" s="3"/>
      <c r="B50" s="10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2"/>
      <c r="Q50" s="10"/>
      <c r="R50" s="11"/>
      <c r="S50" s="11"/>
      <c r="T50" s="11"/>
      <c r="U50" s="11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</row>
    <row r="51" spans="1:45" x14ac:dyDescent="0.25">
      <c r="A51" s="3"/>
      <c r="B51" s="10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2"/>
      <c r="Q51" s="10"/>
      <c r="R51" s="11"/>
      <c r="S51" s="11"/>
      <c r="T51" s="11"/>
      <c r="U51" s="11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</row>
    <row r="52" spans="1:45" x14ac:dyDescent="0.25">
      <c r="A52" s="3"/>
      <c r="B52" s="10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2"/>
      <c r="Q52" s="10"/>
      <c r="R52" s="11"/>
      <c r="S52" s="11"/>
      <c r="T52" s="11"/>
      <c r="U52" s="11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</row>
    <row r="53" spans="1:45" x14ac:dyDescent="0.25">
      <c r="A53" s="3"/>
      <c r="B53" s="10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2"/>
      <c r="Q53" s="10"/>
      <c r="R53" s="11"/>
      <c r="S53" s="11"/>
      <c r="T53" s="11"/>
      <c r="U53" s="11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</row>
    <row r="54" spans="1:45" x14ac:dyDescent="0.25">
      <c r="A54" s="3"/>
      <c r="B54" s="10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2"/>
      <c r="Q54" s="10"/>
      <c r="R54" s="11"/>
      <c r="S54" s="11"/>
      <c r="T54" s="11"/>
      <c r="U54" s="11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</row>
    <row r="55" spans="1:45" x14ac:dyDescent="0.25">
      <c r="A55" s="3"/>
      <c r="B55" s="10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2"/>
      <c r="Q55" s="10"/>
      <c r="R55" s="11"/>
      <c r="S55" s="11"/>
      <c r="T55" s="11"/>
      <c r="U55" s="11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</row>
    <row r="56" spans="1:45" x14ac:dyDescent="0.25">
      <c r="A56" s="3"/>
      <c r="B56" s="10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2"/>
      <c r="Q56" s="10"/>
      <c r="R56" s="11"/>
      <c r="S56" s="11"/>
      <c r="T56" s="11"/>
      <c r="U56" s="11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</row>
    <row r="57" spans="1:45" x14ac:dyDescent="0.25">
      <c r="A57" s="3"/>
      <c r="B57" s="10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2"/>
      <c r="Q57" s="10"/>
      <c r="R57" s="11"/>
      <c r="S57" s="11"/>
      <c r="T57" s="11"/>
      <c r="U57" s="11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</row>
    <row r="58" spans="1:45" x14ac:dyDescent="0.25">
      <c r="A58" s="3"/>
      <c r="B58" s="10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2"/>
      <c r="Q58" s="10"/>
      <c r="R58" s="11"/>
      <c r="S58" s="11"/>
      <c r="T58" s="11"/>
      <c r="U58" s="11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</row>
    <row r="59" spans="1:45" x14ac:dyDescent="0.25">
      <c r="A59" s="3"/>
      <c r="B59" s="10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2"/>
      <c r="Q59" s="10"/>
      <c r="R59" s="11"/>
      <c r="S59" s="11"/>
      <c r="T59" s="11"/>
      <c r="U59" s="11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</row>
    <row r="60" spans="1:45" x14ac:dyDescent="0.25">
      <c r="A60" s="3"/>
      <c r="B60" s="10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2"/>
      <c r="Q60" s="10"/>
      <c r="R60" s="11"/>
      <c r="S60" s="11"/>
      <c r="T60" s="11"/>
      <c r="U60" s="11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</row>
    <row r="61" spans="1:45" x14ac:dyDescent="0.25">
      <c r="A61" s="3"/>
      <c r="B61" s="10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2"/>
      <c r="Q61" s="10"/>
      <c r="R61" s="11"/>
      <c r="S61" s="11"/>
      <c r="T61" s="11"/>
      <c r="U61" s="11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</row>
    <row r="62" spans="1:45" x14ac:dyDescent="0.25">
      <c r="A62" s="3"/>
      <c r="B62" s="10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2"/>
      <c r="Q62" s="10"/>
      <c r="R62" s="11"/>
      <c r="S62" s="11"/>
      <c r="T62" s="11"/>
      <c r="U62" s="11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</row>
    <row r="63" spans="1:45" x14ac:dyDescent="0.25">
      <c r="A63" s="3"/>
      <c r="B63" s="10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2"/>
      <c r="Q63" s="10"/>
      <c r="R63" s="11"/>
      <c r="S63" s="11"/>
      <c r="T63" s="11"/>
      <c r="U63" s="11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</row>
    <row r="64" spans="1:45" x14ac:dyDescent="0.25">
      <c r="A64" s="3"/>
      <c r="B64" s="10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2"/>
      <c r="Q64" s="10"/>
      <c r="R64" s="11"/>
      <c r="S64" s="11"/>
      <c r="T64" s="11"/>
      <c r="U64" s="11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</row>
    <row r="65" spans="1:45" x14ac:dyDescent="0.25">
      <c r="A65" s="3"/>
      <c r="B65" s="10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2"/>
      <c r="Q65" s="10"/>
      <c r="R65" s="11"/>
      <c r="S65" s="11"/>
      <c r="T65" s="11"/>
      <c r="U65" s="11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</row>
    <row r="66" spans="1:45" x14ac:dyDescent="0.25">
      <c r="A66" s="3"/>
      <c r="B66" s="10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2"/>
      <c r="Q66" s="10"/>
      <c r="R66" s="11"/>
      <c r="S66" s="11"/>
      <c r="T66" s="11"/>
      <c r="U66" s="11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</row>
    <row r="67" spans="1:45" x14ac:dyDescent="0.25">
      <c r="A67" s="3"/>
      <c r="B67" s="10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2"/>
      <c r="Q67" s="10"/>
      <c r="R67" s="11"/>
      <c r="S67" s="11"/>
      <c r="T67" s="11"/>
      <c r="U67" s="11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</row>
    <row r="68" spans="1:45" x14ac:dyDescent="0.25">
      <c r="A68" s="3"/>
      <c r="B68" s="10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2"/>
      <c r="Q68" s="10"/>
      <c r="R68" s="11"/>
      <c r="S68" s="11"/>
      <c r="T68" s="11"/>
      <c r="U68" s="11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</row>
    <row r="69" spans="1:45" x14ac:dyDescent="0.25">
      <c r="A69" s="3"/>
      <c r="B69" s="10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2"/>
      <c r="Q69" s="10"/>
      <c r="R69" s="11"/>
      <c r="S69" s="11"/>
      <c r="T69" s="11"/>
      <c r="U69" s="11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</row>
    <row r="70" spans="1:45" x14ac:dyDescent="0.25">
      <c r="A70" s="3"/>
      <c r="B70" s="10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2"/>
      <c r="Q70" s="10"/>
      <c r="R70" s="11"/>
      <c r="S70" s="11"/>
      <c r="T70" s="11"/>
      <c r="U70" s="11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</row>
    <row r="71" spans="1:45" x14ac:dyDescent="0.25">
      <c r="A71" s="3"/>
      <c r="B71" s="10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2"/>
      <c r="Q71" s="10"/>
      <c r="R71" s="11"/>
      <c r="S71" s="11"/>
      <c r="T71" s="11"/>
      <c r="U71" s="11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</row>
    <row r="72" spans="1:45" x14ac:dyDescent="0.25">
      <c r="A72" s="3"/>
      <c r="B72" s="10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2"/>
      <c r="Q72" s="10"/>
      <c r="R72" s="11"/>
      <c r="S72" s="11"/>
      <c r="T72" s="11"/>
      <c r="U72" s="11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</row>
    <row r="73" spans="1:45" x14ac:dyDescent="0.25">
      <c r="A73" s="3"/>
      <c r="B73" s="10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2"/>
      <c r="Q73" s="10"/>
      <c r="R73" s="11"/>
      <c r="S73" s="11"/>
      <c r="T73" s="11"/>
      <c r="U73" s="11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</row>
    <row r="74" spans="1:45" x14ac:dyDescent="0.25">
      <c r="A74" s="3"/>
      <c r="B74" s="10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2"/>
      <c r="Q74" s="10"/>
      <c r="R74" s="11"/>
      <c r="S74" s="11"/>
      <c r="T74" s="11"/>
      <c r="U74" s="11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</row>
    <row r="75" spans="1:45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 t="s">
        <v>27</v>
      </c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</row>
    <row r="76" spans="1:45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 t="s">
        <v>28</v>
      </c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</row>
    <row r="77" spans="1:45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 t="s">
        <v>29</v>
      </c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</row>
    <row r="78" spans="1:45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 t="s">
        <v>30</v>
      </c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</row>
    <row r="79" spans="1:45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 t="s">
        <v>31</v>
      </c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</row>
    <row r="80" spans="1:45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 t="s">
        <v>32</v>
      </c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</row>
    <row r="81" spans="1:45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 t="s">
        <v>33</v>
      </c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</row>
    <row r="82" spans="1:45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 t="s">
        <v>34</v>
      </c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</row>
    <row r="83" spans="1:45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 t="s">
        <v>35</v>
      </c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</row>
    <row r="84" spans="1:45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 t="s">
        <v>36</v>
      </c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</row>
    <row r="85" spans="1:45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 t="s">
        <v>37</v>
      </c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</row>
    <row r="86" spans="1:45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 t="s">
        <v>38</v>
      </c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</row>
    <row r="87" spans="1:45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 t="s">
        <v>39</v>
      </c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</row>
    <row r="88" spans="1:45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 t="s">
        <v>40</v>
      </c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</row>
    <row r="89" spans="1:45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 t="s">
        <v>41</v>
      </c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</row>
    <row r="90" spans="1:45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 t="s">
        <v>42</v>
      </c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</row>
    <row r="91" spans="1:45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 t="s">
        <v>43</v>
      </c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</row>
    <row r="92" spans="1:45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 t="s">
        <v>44</v>
      </c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</row>
    <row r="93" spans="1:45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 t="s">
        <v>45</v>
      </c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</row>
    <row r="94" spans="1:45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 t="s">
        <v>46</v>
      </c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</row>
    <row r="95" spans="1:45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 t="s">
        <v>47</v>
      </c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</row>
    <row r="96" spans="1:45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 t="s">
        <v>48</v>
      </c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</row>
    <row r="97" spans="1:45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 t="s">
        <v>49</v>
      </c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</row>
    <row r="98" spans="1:45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 t="s">
        <v>50</v>
      </c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</row>
    <row r="99" spans="1:45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 t="s">
        <v>51</v>
      </c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</row>
    <row r="100" spans="1:45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 t="s">
        <v>52</v>
      </c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</row>
    <row r="101" spans="1:45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 t="s">
        <v>53</v>
      </c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</row>
    <row r="102" spans="1:45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 t="s">
        <v>54</v>
      </c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</row>
    <row r="103" spans="1:45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 t="s">
        <v>55</v>
      </c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</row>
    <row r="104" spans="1:45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 t="s">
        <v>56</v>
      </c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</row>
    <row r="105" spans="1:45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 t="s">
        <v>57</v>
      </c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</row>
    <row r="106" spans="1:45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 t="s">
        <v>58</v>
      </c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</row>
    <row r="107" spans="1:45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 t="s">
        <v>59</v>
      </c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</row>
    <row r="108" spans="1:45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 t="s">
        <v>60</v>
      </c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</row>
    <row r="109" spans="1:45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 t="s">
        <v>61</v>
      </c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</row>
    <row r="110" spans="1:45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 t="s">
        <v>62</v>
      </c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</row>
    <row r="111" spans="1:45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 t="s">
        <v>63</v>
      </c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</row>
    <row r="112" spans="1:45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 t="s">
        <v>64</v>
      </c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</row>
    <row r="113" spans="1:45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 t="s">
        <v>65</v>
      </c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</row>
    <row r="114" spans="1:45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 t="s">
        <v>66</v>
      </c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</row>
    <row r="115" spans="1:45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 t="s">
        <v>67</v>
      </c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</row>
    <row r="116" spans="1:45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 t="s">
        <v>68</v>
      </c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</row>
    <row r="117" spans="1:45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 t="s">
        <v>69</v>
      </c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</row>
    <row r="118" spans="1:45" s="3" customFormat="1" x14ac:dyDescent="0.25">
      <c r="Q118" s="3" t="s">
        <v>70</v>
      </c>
    </row>
    <row r="119" spans="1:45" s="3" customFormat="1" x14ac:dyDescent="0.25">
      <c r="Q119" s="3" t="s">
        <v>71</v>
      </c>
    </row>
    <row r="120" spans="1:45" s="3" customFormat="1" x14ac:dyDescent="0.25">
      <c r="Q120" s="3" t="s">
        <v>72</v>
      </c>
    </row>
    <row r="121" spans="1:45" s="3" customFormat="1" x14ac:dyDescent="0.25">
      <c r="Q121" s="3" t="s">
        <v>73</v>
      </c>
    </row>
    <row r="122" spans="1:45" s="3" customFormat="1" x14ac:dyDescent="0.25">
      <c r="Q122" s="3" t="s">
        <v>74</v>
      </c>
    </row>
    <row r="123" spans="1:45" s="3" customFormat="1" x14ac:dyDescent="0.25">
      <c r="Q123" s="3" t="s">
        <v>75</v>
      </c>
    </row>
    <row r="124" spans="1:45" s="3" customFormat="1" x14ac:dyDescent="0.25">
      <c r="Q124" s="3" t="s">
        <v>76</v>
      </c>
    </row>
    <row r="125" spans="1:45" s="3" customFormat="1" x14ac:dyDescent="0.25">
      <c r="Q125" s="3" t="s">
        <v>77</v>
      </c>
    </row>
    <row r="126" spans="1:45" s="3" customFormat="1" x14ac:dyDescent="0.25">
      <c r="Q126" s="3" t="s">
        <v>78</v>
      </c>
    </row>
    <row r="127" spans="1:45" s="3" customFormat="1" x14ac:dyDescent="0.25">
      <c r="Q127" s="3" t="s">
        <v>79</v>
      </c>
    </row>
    <row r="128" spans="1:45" s="3" customFormat="1" x14ac:dyDescent="0.25">
      <c r="Q128" s="3" t="s">
        <v>80</v>
      </c>
    </row>
    <row r="129" spans="17:17" s="3" customFormat="1" x14ac:dyDescent="0.25">
      <c r="Q129" s="3" t="s">
        <v>81</v>
      </c>
    </row>
    <row r="130" spans="17:17" s="3" customFormat="1" x14ac:dyDescent="0.25">
      <c r="Q130" s="3" t="s">
        <v>82</v>
      </c>
    </row>
    <row r="131" spans="17:17" s="3" customFormat="1" x14ac:dyDescent="0.25">
      <c r="Q131" s="3" t="s">
        <v>83</v>
      </c>
    </row>
    <row r="132" spans="17:17" s="3" customFormat="1" x14ac:dyDescent="0.25">
      <c r="Q132" s="3" t="s">
        <v>84</v>
      </c>
    </row>
    <row r="133" spans="17:17" s="3" customFormat="1" x14ac:dyDescent="0.25">
      <c r="Q133" s="3" t="s">
        <v>85</v>
      </c>
    </row>
    <row r="134" spans="17:17" s="3" customFormat="1" x14ac:dyDescent="0.25">
      <c r="Q134" s="3" t="s">
        <v>86</v>
      </c>
    </row>
    <row r="135" spans="17:17" s="3" customFormat="1" x14ac:dyDescent="0.25">
      <c r="Q135" s="3" t="s">
        <v>87</v>
      </c>
    </row>
    <row r="136" spans="17:17" s="3" customFormat="1" x14ac:dyDescent="0.25">
      <c r="Q136" s="3" t="s">
        <v>88</v>
      </c>
    </row>
    <row r="137" spans="17:17" s="3" customFormat="1" x14ac:dyDescent="0.25">
      <c r="Q137" s="3" t="s">
        <v>89</v>
      </c>
    </row>
    <row r="138" spans="17:17" s="3" customFormat="1" x14ac:dyDescent="0.25">
      <c r="Q138" s="3" t="s">
        <v>90</v>
      </c>
    </row>
    <row r="139" spans="17:17" s="3" customFormat="1" x14ac:dyDescent="0.25">
      <c r="Q139" s="3" t="s">
        <v>91</v>
      </c>
    </row>
    <row r="140" spans="17:17" s="3" customFormat="1" x14ac:dyDescent="0.25">
      <c r="Q140" s="3" t="s">
        <v>92</v>
      </c>
    </row>
    <row r="141" spans="17:17" s="3" customFormat="1" x14ac:dyDescent="0.25">
      <c r="Q141" s="3" t="s">
        <v>93</v>
      </c>
    </row>
    <row r="142" spans="17:17" s="3" customFormat="1" x14ac:dyDescent="0.25">
      <c r="Q142" s="3" t="s">
        <v>94</v>
      </c>
    </row>
    <row r="143" spans="17:17" s="3" customFormat="1" x14ac:dyDescent="0.25">
      <c r="Q143" s="3" t="s">
        <v>95</v>
      </c>
    </row>
    <row r="144" spans="17:17" s="3" customFormat="1" x14ac:dyDescent="0.25">
      <c r="Q144" s="3" t="s">
        <v>96</v>
      </c>
    </row>
    <row r="145" spans="17:17" s="3" customFormat="1" x14ac:dyDescent="0.25">
      <c r="Q145" s="3" t="s">
        <v>97</v>
      </c>
    </row>
    <row r="146" spans="17:17" s="3" customFormat="1" x14ac:dyDescent="0.25">
      <c r="Q146" s="3" t="s">
        <v>98</v>
      </c>
    </row>
    <row r="147" spans="17:17" s="3" customFormat="1" x14ac:dyDescent="0.25">
      <c r="Q147" s="3" t="s">
        <v>99</v>
      </c>
    </row>
    <row r="148" spans="17:17" s="3" customFormat="1" x14ac:dyDescent="0.25">
      <c r="Q148" s="3" t="s">
        <v>100</v>
      </c>
    </row>
    <row r="149" spans="17:17" s="3" customFormat="1" x14ac:dyDescent="0.25">
      <c r="Q149" s="3" t="s">
        <v>101</v>
      </c>
    </row>
    <row r="150" spans="17:17" s="3" customFormat="1" x14ac:dyDescent="0.25">
      <c r="Q150" s="3" t="s">
        <v>102</v>
      </c>
    </row>
    <row r="151" spans="17:17" s="3" customFormat="1" x14ac:dyDescent="0.25">
      <c r="Q151" s="3" t="s">
        <v>103</v>
      </c>
    </row>
    <row r="152" spans="17:17" s="3" customFormat="1" x14ac:dyDescent="0.25">
      <c r="Q152" s="3" t="s">
        <v>104</v>
      </c>
    </row>
    <row r="153" spans="17:17" s="3" customFormat="1" x14ac:dyDescent="0.25">
      <c r="Q153" s="3" t="s">
        <v>105</v>
      </c>
    </row>
    <row r="154" spans="17:17" s="3" customFormat="1" x14ac:dyDescent="0.25">
      <c r="Q154" s="3" t="s">
        <v>106</v>
      </c>
    </row>
    <row r="155" spans="17:17" s="3" customFormat="1" x14ac:dyDescent="0.25">
      <c r="Q155" s="3" t="s">
        <v>107</v>
      </c>
    </row>
    <row r="156" spans="17:17" s="3" customFormat="1" x14ac:dyDescent="0.25">
      <c r="Q156" s="3" t="s">
        <v>108</v>
      </c>
    </row>
    <row r="157" spans="17:17" s="3" customFormat="1" x14ac:dyDescent="0.25">
      <c r="Q157" s="3" t="s">
        <v>109</v>
      </c>
    </row>
    <row r="158" spans="17:17" s="3" customFormat="1" x14ac:dyDescent="0.25">
      <c r="Q158" s="3" t="s">
        <v>110</v>
      </c>
    </row>
    <row r="159" spans="17:17" s="3" customFormat="1" x14ac:dyDescent="0.25">
      <c r="Q159" s="3" t="s">
        <v>111</v>
      </c>
    </row>
    <row r="160" spans="17:17" s="3" customFormat="1" x14ac:dyDescent="0.25">
      <c r="Q160" s="3" t="s">
        <v>112</v>
      </c>
    </row>
    <row r="161" spans="17:17" s="3" customFormat="1" x14ac:dyDescent="0.25">
      <c r="Q161" s="3" t="s">
        <v>113</v>
      </c>
    </row>
    <row r="162" spans="17:17" s="3" customFormat="1" x14ac:dyDescent="0.25">
      <c r="Q162" s="3" t="s">
        <v>114</v>
      </c>
    </row>
    <row r="163" spans="17:17" s="3" customFormat="1" x14ac:dyDescent="0.25">
      <c r="Q163" s="3" t="s">
        <v>115</v>
      </c>
    </row>
    <row r="164" spans="17:17" s="3" customFormat="1" x14ac:dyDescent="0.25">
      <c r="Q164" s="3" t="s">
        <v>116</v>
      </c>
    </row>
    <row r="165" spans="17:17" s="3" customFormat="1" x14ac:dyDescent="0.25">
      <c r="Q165" s="3" t="s">
        <v>117</v>
      </c>
    </row>
    <row r="166" spans="17:17" s="3" customFormat="1" x14ac:dyDescent="0.25">
      <c r="Q166" s="3" t="s">
        <v>118</v>
      </c>
    </row>
    <row r="167" spans="17:17" s="3" customFormat="1" x14ac:dyDescent="0.25">
      <c r="Q167" s="3" t="s">
        <v>119</v>
      </c>
    </row>
    <row r="168" spans="17:17" s="3" customFormat="1" x14ac:dyDescent="0.25">
      <c r="Q168" s="3" t="s">
        <v>120</v>
      </c>
    </row>
    <row r="169" spans="17:17" s="3" customFormat="1" x14ac:dyDescent="0.25">
      <c r="Q169" s="3" t="s">
        <v>121</v>
      </c>
    </row>
    <row r="170" spans="17:17" s="3" customFormat="1" x14ac:dyDescent="0.25">
      <c r="Q170" s="3" t="s">
        <v>122</v>
      </c>
    </row>
    <row r="171" spans="17:17" s="3" customFormat="1" x14ac:dyDescent="0.25">
      <c r="Q171" s="3" t="s">
        <v>123</v>
      </c>
    </row>
    <row r="172" spans="17:17" s="3" customFormat="1" x14ac:dyDescent="0.25">
      <c r="Q172" s="3" t="s">
        <v>124</v>
      </c>
    </row>
    <row r="173" spans="17:17" s="3" customFormat="1" x14ac:dyDescent="0.25">
      <c r="Q173" s="3" t="s">
        <v>125</v>
      </c>
    </row>
    <row r="174" spans="17:17" s="3" customFormat="1" x14ac:dyDescent="0.25">
      <c r="Q174" s="3" t="s">
        <v>126</v>
      </c>
    </row>
    <row r="175" spans="17:17" s="3" customFormat="1" x14ac:dyDescent="0.25">
      <c r="Q175" s="3" t="s">
        <v>127</v>
      </c>
    </row>
    <row r="176" spans="17:17" s="3" customFormat="1" x14ac:dyDescent="0.25">
      <c r="Q176" s="3" t="s">
        <v>128</v>
      </c>
    </row>
    <row r="177" spans="17:17" s="3" customFormat="1" x14ac:dyDescent="0.25">
      <c r="Q177" s="3" t="s">
        <v>129</v>
      </c>
    </row>
    <row r="178" spans="17:17" s="3" customFormat="1" x14ac:dyDescent="0.25">
      <c r="Q178" s="3" t="s">
        <v>130</v>
      </c>
    </row>
    <row r="179" spans="17:17" s="3" customFormat="1" x14ac:dyDescent="0.25">
      <c r="Q179" s="3" t="s">
        <v>131</v>
      </c>
    </row>
    <row r="180" spans="17:17" s="3" customFormat="1" x14ac:dyDescent="0.25">
      <c r="Q180" s="3" t="s">
        <v>132</v>
      </c>
    </row>
    <row r="181" spans="17:17" s="3" customFormat="1" x14ac:dyDescent="0.25">
      <c r="Q181" s="3" t="s">
        <v>133</v>
      </c>
    </row>
    <row r="182" spans="17:17" s="3" customFormat="1" x14ac:dyDescent="0.25">
      <c r="Q182" s="3" t="s">
        <v>134</v>
      </c>
    </row>
    <row r="183" spans="17:17" s="3" customFormat="1" x14ac:dyDescent="0.25">
      <c r="Q183" s="3" t="s">
        <v>135</v>
      </c>
    </row>
    <row r="184" spans="17:17" s="3" customFormat="1" x14ac:dyDescent="0.25">
      <c r="Q184" s="3" t="s">
        <v>136</v>
      </c>
    </row>
    <row r="185" spans="17:17" s="3" customFormat="1" x14ac:dyDescent="0.25">
      <c r="Q185" s="3" t="s">
        <v>137</v>
      </c>
    </row>
    <row r="186" spans="17:17" s="3" customFormat="1" x14ac:dyDescent="0.25">
      <c r="Q186" s="3" t="s">
        <v>138</v>
      </c>
    </row>
    <row r="187" spans="17:17" s="3" customFormat="1" x14ac:dyDescent="0.25">
      <c r="Q187" s="3" t="s">
        <v>139</v>
      </c>
    </row>
    <row r="188" spans="17:17" s="3" customFormat="1" x14ac:dyDescent="0.25">
      <c r="Q188" s="3" t="s">
        <v>140</v>
      </c>
    </row>
    <row r="189" spans="17:17" s="3" customFormat="1" x14ac:dyDescent="0.25">
      <c r="Q189" s="3" t="s">
        <v>141</v>
      </c>
    </row>
    <row r="190" spans="17:17" s="3" customFormat="1" x14ac:dyDescent="0.25">
      <c r="Q190" s="3" t="s">
        <v>142</v>
      </c>
    </row>
    <row r="191" spans="17:17" s="3" customFormat="1" x14ac:dyDescent="0.25">
      <c r="Q191" s="3" t="s">
        <v>143</v>
      </c>
    </row>
    <row r="192" spans="17:17" s="3" customFormat="1" x14ac:dyDescent="0.25">
      <c r="Q192" s="3" t="s">
        <v>144</v>
      </c>
    </row>
    <row r="193" spans="17:17" s="3" customFormat="1" x14ac:dyDescent="0.25">
      <c r="Q193" s="3" t="s">
        <v>145</v>
      </c>
    </row>
    <row r="194" spans="17:17" s="3" customFormat="1" x14ac:dyDescent="0.25">
      <c r="Q194" s="3" t="s">
        <v>146</v>
      </c>
    </row>
    <row r="195" spans="17:17" s="3" customFormat="1" x14ac:dyDescent="0.25">
      <c r="Q195" s="3" t="s">
        <v>147</v>
      </c>
    </row>
    <row r="196" spans="17:17" s="3" customFormat="1" x14ac:dyDescent="0.25">
      <c r="Q196" s="3" t="s">
        <v>148</v>
      </c>
    </row>
    <row r="197" spans="17:17" s="3" customFormat="1" x14ac:dyDescent="0.25">
      <c r="Q197" s="3" t="s">
        <v>149</v>
      </c>
    </row>
    <row r="198" spans="17:17" s="3" customFormat="1" x14ac:dyDescent="0.25">
      <c r="Q198" s="3" t="s">
        <v>150</v>
      </c>
    </row>
    <row r="199" spans="17:17" s="3" customFormat="1" x14ac:dyDescent="0.25">
      <c r="Q199" s="3" t="s">
        <v>151</v>
      </c>
    </row>
    <row r="200" spans="17:17" s="3" customFormat="1" x14ac:dyDescent="0.25">
      <c r="Q200" s="3" t="s">
        <v>152</v>
      </c>
    </row>
    <row r="201" spans="17:17" s="3" customFormat="1" x14ac:dyDescent="0.25">
      <c r="Q201" s="3" t="s">
        <v>153</v>
      </c>
    </row>
    <row r="202" spans="17:17" s="3" customFormat="1" x14ac:dyDescent="0.25">
      <c r="Q202" s="3" t="s">
        <v>154</v>
      </c>
    </row>
    <row r="203" spans="17:17" s="3" customFormat="1" x14ac:dyDescent="0.25">
      <c r="Q203" s="3" t="s">
        <v>155</v>
      </c>
    </row>
    <row r="204" spans="17:17" s="3" customFormat="1" x14ac:dyDescent="0.25">
      <c r="Q204" s="3" t="s">
        <v>156</v>
      </c>
    </row>
    <row r="205" spans="17:17" s="3" customFormat="1" x14ac:dyDescent="0.25">
      <c r="Q205" s="3" t="s">
        <v>157</v>
      </c>
    </row>
    <row r="206" spans="17:17" s="3" customFormat="1" x14ac:dyDescent="0.25">
      <c r="Q206" s="3" t="s">
        <v>158</v>
      </c>
    </row>
    <row r="207" spans="17:17" s="3" customFormat="1" x14ac:dyDescent="0.25">
      <c r="Q207" s="3" t="s">
        <v>159</v>
      </c>
    </row>
    <row r="208" spans="17:17" s="3" customFormat="1" x14ac:dyDescent="0.25">
      <c r="Q208" s="3" t="s">
        <v>160</v>
      </c>
    </row>
    <row r="209" spans="17:17" s="3" customFormat="1" x14ac:dyDescent="0.25">
      <c r="Q209" s="3" t="s">
        <v>161</v>
      </c>
    </row>
    <row r="210" spans="17:17" s="3" customFormat="1" x14ac:dyDescent="0.25">
      <c r="Q210" s="3" t="s">
        <v>162</v>
      </c>
    </row>
    <row r="211" spans="17:17" s="3" customFormat="1" x14ac:dyDescent="0.25">
      <c r="Q211" s="3" t="s">
        <v>163</v>
      </c>
    </row>
    <row r="212" spans="17:17" s="3" customFormat="1" x14ac:dyDescent="0.25">
      <c r="Q212" s="3" t="s">
        <v>164</v>
      </c>
    </row>
    <row r="213" spans="17:17" s="3" customFormat="1" x14ac:dyDescent="0.25">
      <c r="Q213" s="3" t="s">
        <v>165</v>
      </c>
    </row>
    <row r="214" spans="17:17" s="3" customFormat="1" x14ac:dyDescent="0.25">
      <c r="Q214" s="3" t="s">
        <v>166</v>
      </c>
    </row>
    <row r="215" spans="17:17" s="3" customFormat="1" x14ac:dyDescent="0.25">
      <c r="Q215" s="3" t="s">
        <v>167</v>
      </c>
    </row>
    <row r="216" spans="17:17" s="3" customFormat="1" x14ac:dyDescent="0.25">
      <c r="Q216" s="3" t="s">
        <v>168</v>
      </c>
    </row>
    <row r="217" spans="17:17" s="3" customFormat="1" x14ac:dyDescent="0.25">
      <c r="Q217" s="3" t="s">
        <v>169</v>
      </c>
    </row>
    <row r="218" spans="17:17" s="3" customFormat="1" x14ac:dyDescent="0.25">
      <c r="Q218" s="3" t="s">
        <v>170</v>
      </c>
    </row>
    <row r="219" spans="17:17" s="3" customFormat="1" x14ac:dyDescent="0.25">
      <c r="Q219" s="3" t="s">
        <v>171</v>
      </c>
    </row>
    <row r="220" spans="17:17" s="3" customFormat="1" x14ac:dyDescent="0.25">
      <c r="Q220" s="3" t="s">
        <v>172</v>
      </c>
    </row>
    <row r="221" spans="17:17" s="3" customFormat="1" x14ac:dyDescent="0.25">
      <c r="Q221" s="3" t="s">
        <v>173</v>
      </c>
    </row>
    <row r="222" spans="17:17" s="3" customFormat="1" x14ac:dyDescent="0.25">
      <c r="Q222" s="3" t="s">
        <v>174</v>
      </c>
    </row>
    <row r="223" spans="17:17" s="3" customFormat="1" x14ac:dyDescent="0.25">
      <c r="Q223" s="3" t="s">
        <v>175</v>
      </c>
    </row>
    <row r="224" spans="17:17" s="3" customFormat="1" x14ac:dyDescent="0.25">
      <c r="Q224" s="3" t="s">
        <v>176</v>
      </c>
    </row>
    <row r="225" spans="17:17" s="3" customFormat="1" x14ac:dyDescent="0.25">
      <c r="Q225" s="3" t="s">
        <v>177</v>
      </c>
    </row>
    <row r="226" spans="17:17" s="3" customFormat="1" x14ac:dyDescent="0.25">
      <c r="Q226" s="3" t="s">
        <v>178</v>
      </c>
    </row>
    <row r="227" spans="17:17" s="3" customFormat="1" x14ac:dyDescent="0.25">
      <c r="Q227" s="3" t="s">
        <v>179</v>
      </c>
    </row>
    <row r="228" spans="17:17" s="3" customFormat="1" x14ac:dyDescent="0.25">
      <c r="Q228" s="3" t="s">
        <v>180</v>
      </c>
    </row>
    <row r="229" spans="17:17" s="3" customFormat="1" x14ac:dyDescent="0.25"/>
    <row r="230" spans="17:17" s="3" customFormat="1" x14ac:dyDescent="0.25"/>
    <row r="231" spans="17:17" s="3" customFormat="1" x14ac:dyDescent="0.25"/>
    <row r="232" spans="17:17" s="3" customFormat="1" x14ac:dyDescent="0.25"/>
    <row r="233" spans="17:17" s="3" customFormat="1" x14ac:dyDescent="0.25"/>
    <row r="234" spans="17:17" s="3" customFormat="1" x14ac:dyDescent="0.25"/>
    <row r="235" spans="17:17" s="3" customFormat="1" x14ac:dyDescent="0.25"/>
    <row r="236" spans="17:17" s="3" customFormat="1" x14ac:dyDescent="0.25"/>
    <row r="237" spans="17:17" s="3" customFormat="1" x14ac:dyDescent="0.25"/>
    <row r="238" spans="17:17" s="3" customFormat="1" x14ac:dyDescent="0.25"/>
    <row r="239" spans="17:17" s="3" customFormat="1" x14ac:dyDescent="0.25"/>
    <row r="240" spans="17:17" s="3" customFormat="1" x14ac:dyDescent="0.25"/>
    <row r="241" s="3" customFormat="1" x14ac:dyDescent="0.25"/>
    <row r="242" s="3" customFormat="1" x14ac:dyDescent="0.25"/>
    <row r="243" s="3" customFormat="1" x14ac:dyDescent="0.25"/>
    <row r="244" s="3" customFormat="1" x14ac:dyDescent="0.25"/>
    <row r="245" s="3" customFormat="1" x14ac:dyDescent="0.25"/>
    <row r="246" s="3" customFormat="1" x14ac:dyDescent="0.25"/>
    <row r="247" s="3" customFormat="1" x14ac:dyDescent="0.25"/>
    <row r="248" s="3" customFormat="1" x14ac:dyDescent="0.25"/>
    <row r="249" s="3" customFormat="1" x14ac:dyDescent="0.25"/>
    <row r="250" s="3" customFormat="1" x14ac:dyDescent="0.25"/>
    <row r="251" s="3" customFormat="1" x14ac:dyDescent="0.25"/>
    <row r="252" s="3" customFormat="1" x14ac:dyDescent="0.25"/>
    <row r="253" s="3" customFormat="1" x14ac:dyDescent="0.25"/>
    <row r="254" s="3" customFormat="1" x14ac:dyDescent="0.25"/>
    <row r="255" s="3" customFormat="1" x14ac:dyDescent="0.25"/>
    <row r="256" s="3" customFormat="1" x14ac:dyDescent="0.25"/>
    <row r="257" s="3" customFormat="1" x14ac:dyDescent="0.25"/>
    <row r="258" s="3" customFormat="1" x14ac:dyDescent="0.25"/>
    <row r="259" s="3" customFormat="1" x14ac:dyDescent="0.25"/>
    <row r="260" s="3" customFormat="1" x14ac:dyDescent="0.25"/>
    <row r="261" s="3" customFormat="1" x14ac:dyDescent="0.25"/>
    <row r="262" s="3" customFormat="1" x14ac:dyDescent="0.25"/>
    <row r="263" s="3" customFormat="1" x14ac:dyDescent="0.25"/>
    <row r="264" s="3" customFormat="1" x14ac:dyDescent="0.25"/>
    <row r="265" s="3" customFormat="1" x14ac:dyDescent="0.25"/>
    <row r="266" s="3" customFormat="1" x14ac:dyDescent="0.25"/>
    <row r="267" s="3" customFormat="1" x14ac:dyDescent="0.25"/>
    <row r="268" s="3" customFormat="1" x14ac:dyDescent="0.25"/>
    <row r="269" s="3" customFormat="1" x14ac:dyDescent="0.25"/>
    <row r="270" s="3" customFormat="1" x14ac:dyDescent="0.25"/>
    <row r="271" s="3" customFormat="1" x14ac:dyDescent="0.25"/>
    <row r="272" s="3" customFormat="1" x14ac:dyDescent="0.25"/>
    <row r="273" s="3" customFormat="1" x14ac:dyDescent="0.25"/>
    <row r="274" s="3" customFormat="1" x14ac:dyDescent="0.25"/>
    <row r="275" s="3" customFormat="1" x14ac:dyDescent="0.25"/>
    <row r="276" s="3" customFormat="1" x14ac:dyDescent="0.25"/>
    <row r="277" s="3" customFormat="1" x14ac:dyDescent="0.25"/>
    <row r="278" s="3" customFormat="1" x14ac:dyDescent="0.25"/>
    <row r="279" s="3" customFormat="1" x14ac:dyDescent="0.25"/>
    <row r="280" s="3" customFormat="1" x14ac:dyDescent="0.25"/>
    <row r="281" s="3" customFormat="1" x14ac:dyDescent="0.25"/>
    <row r="282" s="3" customFormat="1" x14ac:dyDescent="0.25"/>
    <row r="283" s="3" customFormat="1" x14ac:dyDescent="0.25"/>
    <row r="284" s="3" customFormat="1" x14ac:dyDescent="0.25"/>
    <row r="285" s="3" customFormat="1" x14ac:dyDescent="0.25"/>
    <row r="286" s="3" customFormat="1" x14ac:dyDescent="0.25"/>
    <row r="287" s="3" customFormat="1" x14ac:dyDescent="0.25"/>
    <row r="288" s="3" customFormat="1" x14ac:dyDescent="0.25"/>
    <row r="289" s="3" customFormat="1" x14ac:dyDescent="0.25"/>
    <row r="290" s="3" customFormat="1" x14ac:dyDescent="0.25"/>
    <row r="291" s="3" customFormat="1" x14ac:dyDescent="0.25"/>
    <row r="292" s="3" customFormat="1" x14ac:dyDescent="0.25"/>
    <row r="293" s="3" customFormat="1" x14ac:dyDescent="0.25"/>
    <row r="294" s="3" customFormat="1" x14ac:dyDescent="0.25"/>
    <row r="295" s="3" customFormat="1" x14ac:dyDescent="0.25"/>
    <row r="296" s="3" customFormat="1" x14ac:dyDescent="0.25"/>
    <row r="297" s="3" customFormat="1" x14ac:dyDescent="0.25"/>
    <row r="298" s="3" customFormat="1" x14ac:dyDescent="0.25"/>
    <row r="299" s="3" customFormat="1" x14ac:dyDescent="0.25"/>
    <row r="300" s="3" customFormat="1" x14ac:dyDescent="0.25"/>
    <row r="301" s="3" customFormat="1" x14ac:dyDescent="0.25"/>
    <row r="302" s="3" customFormat="1" x14ac:dyDescent="0.25"/>
    <row r="303" s="3" customFormat="1" x14ac:dyDescent="0.25"/>
    <row r="304" s="3" customFormat="1" x14ac:dyDescent="0.25"/>
    <row r="305" s="3" customFormat="1" x14ac:dyDescent="0.25"/>
    <row r="306" s="3" customFormat="1" x14ac:dyDescent="0.25"/>
    <row r="307" s="3" customFormat="1" x14ac:dyDescent="0.25"/>
    <row r="308" s="3" customFormat="1" x14ac:dyDescent="0.25"/>
    <row r="309" s="3" customFormat="1" x14ac:dyDescent="0.25"/>
    <row r="310" s="3" customFormat="1" x14ac:dyDescent="0.25"/>
    <row r="311" s="3" customFormat="1" x14ac:dyDescent="0.25"/>
    <row r="312" s="3" customFormat="1" x14ac:dyDescent="0.25"/>
    <row r="313" s="3" customFormat="1" x14ac:dyDescent="0.25"/>
    <row r="314" s="3" customFormat="1" x14ac:dyDescent="0.25"/>
    <row r="315" s="3" customFormat="1" x14ac:dyDescent="0.25"/>
    <row r="316" s="3" customFormat="1" x14ac:dyDescent="0.25"/>
    <row r="317" s="3" customFormat="1" x14ac:dyDescent="0.25"/>
    <row r="318" s="3" customFormat="1" x14ac:dyDescent="0.25"/>
    <row r="319" s="3" customFormat="1" x14ac:dyDescent="0.25"/>
    <row r="320" s="3" customFormat="1" x14ac:dyDescent="0.25"/>
    <row r="321" s="3" customFormat="1" x14ac:dyDescent="0.25"/>
    <row r="322" s="3" customFormat="1" x14ac:dyDescent="0.25"/>
    <row r="323" s="3" customFormat="1" x14ac:dyDescent="0.25"/>
    <row r="324" s="3" customFormat="1" x14ac:dyDescent="0.25"/>
    <row r="325" s="3" customFormat="1" x14ac:dyDescent="0.25"/>
    <row r="326" s="3" customFormat="1" x14ac:dyDescent="0.25"/>
    <row r="327" s="3" customFormat="1" x14ac:dyDescent="0.25"/>
    <row r="328" s="3" customFormat="1" x14ac:dyDescent="0.25"/>
    <row r="329" s="3" customFormat="1" x14ac:dyDescent="0.25"/>
    <row r="330" s="3" customFormat="1" x14ac:dyDescent="0.25"/>
    <row r="331" s="3" customFormat="1" x14ac:dyDescent="0.25"/>
    <row r="332" s="3" customFormat="1" x14ac:dyDescent="0.25"/>
    <row r="333" s="3" customFormat="1" x14ac:dyDescent="0.25"/>
    <row r="334" s="3" customFormat="1" x14ac:dyDescent="0.25"/>
    <row r="335" s="3" customFormat="1" x14ac:dyDescent="0.25"/>
    <row r="336" s="3" customFormat="1" x14ac:dyDescent="0.25"/>
    <row r="337" s="3" customFormat="1" x14ac:dyDescent="0.25"/>
    <row r="338" s="3" customFormat="1" x14ac:dyDescent="0.25"/>
    <row r="339" s="3" customFormat="1" x14ac:dyDescent="0.25"/>
    <row r="340" s="3" customFormat="1" x14ac:dyDescent="0.25"/>
    <row r="341" s="3" customFormat="1" x14ac:dyDescent="0.25"/>
    <row r="342" s="3" customFormat="1" x14ac:dyDescent="0.25"/>
    <row r="343" s="3" customFormat="1" x14ac:dyDescent="0.25"/>
    <row r="344" s="3" customFormat="1" x14ac:dyDescent="0.25"/>
    <row r="345" s="3" customFormat="1" x14ac:dyDescent="0.25"/>
    <row r="346" s="3" customFormat="1" x14ac:dyDescent="0.25"/>
    <row r="347" s="3" customFormat="1" x14ac:dyDescent="0.25"/>
    <row r="348" s="3" customFormat="1" x14ac:dyDescent="0.25"/>
    <row r="349" s="3" customFormat="1" x14ac:dyDescent="0.25"/>
    <row r="350" s="3" customFormat="1" x14ac:dyDescent="0.25"/>
    <row r="351" s="3" customFormat="1" x14ac:dyDescent="0.25"/>
    <row r="352" s="3" customFormat="1" x14ac:dyDescent="0.25"/>
    <row r="353" s="3" customFormat="1" x14ac:dyDescent="0.25"/>
    <row r="354" s="3" customFormat="1" x14ac:dyDescent="0.25"/>
    <row r="355" s="3" customFormat="1" x14ac:dyDescent="0.25"/>
    <row r="356" s="3" customFormat="1" x14ac:dyDescent="0.25"/>
    <row r="357" s="3" customFormat="1" x14ac:dyDescent="0.25"/>
    <row r="358" s="3" customFormat="1" x14ac:dyDescent="0.25"/>
    <row r="359" s="3" customFormat="1" x14ac:dyDescent="0.25"/>
    <row r="360" s="3" customFormat="1" x14ac:dyDescent="0.25"/>
    <row r="361" s="3" customFormat="1" x14ac:dyDescent="0.25"/>
    <row r="362" s="3" customFormat="1" x14ac:dyDescent="0.25"/>
    <row r="363" s="3" customFormat="1" x14ac:dyDescent="0.25"/>
    <row r="364" s="3" customFormat="1" x14ac:dyDescent="0.25"/>
    <row r="365" s="3" customFormat="1" x14ac:dyDescent="0.25"/>
    <row r="366" s="3" customFormat="1" x14ac:dyDescent="0.25"/>
    <row r="367" s="3" customFormat="1" x14ac:dyDescent="0.25"/>
    <row r="368" s="3" customFormat="1" x14ac:dyDescent="0.25"/>
    <row r="369" s="3" customFormat="1" x14ac:dyDescent="0.25"/>
    <row r="370" s="3" customFormat="1" x14ac:dyDescent="0.25"/>
    <row r="371" s="3" customFormat="1" x14ac:dyDescent="0.25"/>
    <row r="372" s="3" customFormat="1" x14ac:dyDescent="0.25"/>
    <row r="373" s="3" customFormat="1" x14ac:dyDescent="0.25"/>
    <row r="374" s="3" customFormat="1" x14ac:dyDescent="0.25"/>
    <row r="375" s="3" customFormat="1" x14ac:dyDescent="0.25"/>
    <row r="376" s="3" customFormat="1" x14ac:dyDescent="0.25"/>
    <row r="377" s="3" customFormat="1" x14ac:dyDescent="0.25"/>
    <row r="378" s="3" customFormat="1" x14ac:dyDescent="0.25"/>
    <row r="379" s="3" customFormat="1" x14ac:dyDescent="0.25"/>
    <row r="380" s="3" customFormat="1" x14ac:dyDescent="0.25"/>
    <row r="381" s="3" customFormat="1" x14ac:dyDescent="0.25"/>
    <row r="382" s="3" customFormat="1" x14ac:dyDescent="0.25"/>
    <row r="383" s="3" customFormat="1" x14ac:dyDescent="0.25"/>
    <row r="384" s="3" customFormat="1" x14ac:dyDescent="0.25"/>
    <row r="385" s="3" customFormat="1" x14ac:dyDescent="0.25"/>
    <row r="386" s="3" customFormat="1" x14ac:dyDescent="0.25"/>
    <row r="387" s="3" customFormat="1" x14ac:dyDescent="0.25"/>
    <row r="388" s="3" customFormat="1" x14ac:dyDescent="0.25"/>
    <row r="389" s="3" customFormat="1" x14ac:dyDescent="0.25"/>
    <row r="390" s="3" customFormat="1" x14ac:dyDescent="0.25"/>
    <row r="391" s="3" customFormat="1" x14ac:dyDescent="0.25"/>
    <row r="392" s="3" customFormat="1" x14ac:dyDescent="0.25"/>
    <row r="393" s="3" customFormat="1" x14ac:dyDescent="0.25"/>
    <row r="394" s="3" customFormat="1" x14ac:dyDescent="0.25"/>
    <row r="395" s="3" customFormat="1" x14ac:dyDescent="0.25"/>
    <row r="396" s="3" customFormat="1" x14ac:dyDescent="0.25"/>
    <row r="397" s="3" customFormat="1" x14ac:dyDescent="0.25"/>
    <row r="398" s="3" customFormat="1" x14ac:dyDescent="0.25"/>
    <row r="399" s="3" customFormat="1" x14ac:dyDescent="0.25"/>
    <row r="400" s="3" customFormat="1" x14ac:dyDescent="0.25"/>
    <row r="401" s="3" customFormat="1" x14ac:dyDescent="0.25"/>
    <row r="402" s="3" customFormat="1" x14ac:dyDescent="0.25"/>
    <row r="403" s="3" customFormat="1" x14ac:dyDescent="0.25"/>
    <row r="404" s="3" customFormat="1" x14ac:dyDescent="0.25"/>
    <row r="405" s="3" customFormat="1" x14ac:dyDescent="0.25"/>
    <row r="406" s="3" customFormat="1" x14ac:dyDescent="0.25"/>
    <row r="407" s="3" customFormat="1" x14ac:dyDescent="0.25"/>
    <row r="408" s="3" customFormat="1" x14ac:dyDescent="0.25"/>
    <row r="409" s="3" customFormat="1" x14ac:dyDescent="0.25"/>
    <row r="410" s="3" customFormat="1" x14ac:dyDescent="0.25"/>
    <row r="411" s="3" customFormat="1" x14ac:dyDescent="0.25"/>
    <row r="412" s="3" customFormat="1" x14ac:dyDescent="0.25"/>
    <row r="413" s="3" customFormat="1" x14ac:dyDescent="0.25"/>
    <row r="414" s="3" customFormat="1" x14ac:dyDescent="0.25"/>
    <row r="415" s="3" customFormat="1" x14ac:dyDescent="0.25"/>
    <row r="416" s="3" customFormat="1" x14ac:dyDescent="0.25"/>
    <row r="417" s="3" customFormat="1" x14ac:dyDescent="0.25"/>
    <row r="418" s="3" customFormat="1" x14ac:dyDescent="0.25"/>
    <row r="419" s="3" customFormat="1" x14ac:dyDescent="0.25"/>
    <row r="420" s="3" customFormat="1" x14ac:dyDescent="0.25"/>
    <row r="421" s="3" customFormat="1" x14ac:dyDescent="0.25"/>
    <row r="422" s="3" customFormat="1" x14ac:dyDescent="0.25"/>
    <row r="423" s="3" customFormat="1" x14ac:dyDescent="0.25"/>
    <row r="424" s="3" customFormat="1" x14ac:dyDescent="0.25"/>
    <row r="425" s="3" customFormat="1" x14ac:dyDescent="0.25"/>
    <row r="426" s="3" customFormat="1" x14ac:dyDescent="0.25"/>
    <row r="427" s="3" customFormat="1" x14ac:dyDescent="0.25"/>
    <row r="428" s="3" customFormat="1" x14ac:dyDescent="0.25"/>
    <row r="429" s="3" customFormat="1" x14ac:dyDescent="0.25"/>
    <row r="430" s="3" customFormat="1" x14ac:dyDescent="0.25"/>
    <row r="431" s="3" customFormat="1" x14ac:dyDescent="0.25"/>
    <row r="432" s="3" customFormat="1" x14ac:dyDescent="0.25"/>
    <row r="433" s="3" customFormat="1" x14ac:dyDescent="0.25"/>
    <row r="434" s="3" customFormat="1" x14ac:dyDescent="0.25"/>
    <row r="435" s="3" customFormat="1" x14ac:dyDescent="0.25"/>
    <row r="436" s="3" customFormat="1" x14ac:dyDescent="0.25"/>
    <row r="437" s="3" customFormat="1" x14ac:dyDescent="0.25"/>
    <row r="438" s="3" customFormat="1" x14ac:dyDescent="0.25"/>
    <row r="439" s="3" customFormat="1" x14ac:dyDescent="0.25"/>
    <row r="440" s="3" customFormat="1" x14ac:dyDescent="0.25"/>
    <row r="441" s="3" customFormat="1" x14ac:dyDescent="0.25"/>
    <row r="442" s="3" customFormat="1" x14ac:dyDescent="0.25"/>
    <row r="443" s="3" customFormat="1" x14ac:dyDescent="0.25"/>
    <row r="444" s="3" customFormat="1" x14ac:dyDescent="0.25"/>
    <row r="445" s="3" customFormat="1" x14ac:dyDescent="0.25"/>
    <row r="446" s="3" customFormat="1" x14ac:dyDescent="0.25"/>
    <row r="447" s="3" customFormat="1" x14ac:dyDescent="0.25"/>
    <row r="448" s="3" customFormat="1" x14ac:dyDescent="0.25"/>
    <row r="449" s="3" customFormat="1" x14ac:dyDescent="0.25"/>
    <row r="450" s="3" customFormat="1" x14ac:dyDescent="0.25"/>
    <row r="451" s="3" customFormat="1" x14ac:dyDescent="0.25"/>
    <row r="452" s="3" customFormat="1" x14ac:dyDescent="0.25"/>
    <row r="453" s="3" customFormat="1" x14ac:dyDescent="0.25"/>
    <row r="454" s="3" customFormat="1" x14ac:dyDescent="0.25"/>
    <row r="455" s="3" customFormat="1" x14ac:dyDescent="0.25"/>
    <row r="456" s="3" customFormat="1" x14ac:dyDescent="0.25"/>
    <row r="457" s="3" customFormat="1" x14ac:dyDescent="0.25"/>
    <row r="458" s="3" customFormat="1" x14ac:dyDescent="0.25"/>
    <row r="459" s="3" customFormat="1" x14ac:dyDescent="0.25"/>
    <row r="460" s="3" customFormat="1" x14ac:dyDescent="0.25"/>
    <row r="461" s="3" customFormat="1" x14ac:dyDescent="0.25"/>
    <row r="462" s="3" customFormat="1" x14ac:dyDescent="0.25"/>
    <row r="463" s="3" customFormat="1" x14ac:dyDescent="0.25"/>
    <row r="464" s="3" customFormat="1" x14ac:dyDescent="0.25"/>
    <row r="465" s="3" customFormat="1" x14ac:dyDescent="0.25"/>
    <row r="466" s="3" customFormat="1" x14ac:dyDescent="0.25"/>
    <row r="467" s="3" customFormat="1" x14ac:dyDescent="0.25"/>
    <row r="468" s="3" customFormat="1" x14ac:dyDescent="0.25"/>
    <row r="469" s="3" customFormat="1" x14ac:dyDescent="0.25"/>
    <row r="470" s="3" customFormat="1" x14ac:dyDescent="0.25"/>
    <row r="471" s="3" customFormat="1" x14ac:dyDescent="0.25"/>
    <row r="472" s="3" customFormat="1" x14ac:dyDescent="0.25"/>
    <row r="473" s="3" customFormat="1" x14ac:dyDescent="0.25"/>
    <row r="474" s="3" customFormat="1" x14ac:dyDescent="0.25"/>
    <row r="475" s="3" customFormat="1" x14ac:dyDescent="0.25"/>
    <row r="476" s="3" customFormat="1" x14ac:dyDescent="0.25"/>
    <row r="477" s="3" customFormat="1" x14ac:dyDescent="0.25"/>
    <row r="478" s="3" customFormat="1" x14ac:dyDescent="0.25"/>
    <row r="479" s="3" customFormat="1" x14ac:dyDescent="0.25"/>
    <row r="480" s="3" customFormat="1" x14ac:dyDescent="0.25"/>
    <row r="481" s="3" customFormat="1" x14ac:dyDescent="0.25"/>
    <row r="482" s="3" customFormat="1" x14ac:dyDescent="0.25"/>
    <row r="483" s="3" customFormat="1" x14ac:dyDescent="0.25"/>
    <row r="484" s="3" customFormat="1" x14ac:dyDescent="0.25"/>
    <row r="485" s="3" customFormat="1" x14ac:dyDescent="0.25"/>
    <row r="486" s="3" customFormat="1" x14ac:dyDescent="0.25"/>
    <row r="487" s="3" customFormat="1" x14ac:dyDescent="0.25"/>
    <row r="488" s="3" customFormat="1" x14ac:dyDescent="0.25"/>
    <row r="489" s="3" customFormat="1" x14ac:dyDescent="0.25"/>
    <row r="490" s="3" customFormat="1" x14ac:dyDescent="0.25"/>
    <row r="491" s="3" customFormat="1" x14ac:dyDescent="0.25"/>
    <row r="492" s="3" customFormat="1" x14ac:dyDescent="0.25"/>
    <row r="493" s="3" customFormat="1" x14ac:dyDescent="0.25"/>
    <row r="494" s="3" customFormat="1" x14ac:dyDescent="0.25"/>
    <row r="495" s="3" customFormat="1" x14ac:dyDescent="0.25"/>
    <row r="496" s="3" customFormat="1" x14ac:dyDescent="0.25"/>
    <row r="497" s="3" customFormat="1" x14ac:dyDescent="0.25"/>
    <row r="498" s="3" customFormat="1" x14ac:dyDescent="0.25"/>
    <row r="499" s="3" customFormat="1" x14ac:dyDescent="0.25"/>
    <row r="500" s="3" customFormat="1" x14ac:dyDescent="0.25"/>
    <row r="501" s="3" customFormat="1" x14ac:dyDescent="0.25"/>
    <row r="502" s="3" customFormat="1" x14ac:dyDescent="0.25"/>
    <row r="503" s="3" customFormat="1" x14ac:dyDescent="0.25"/>
    <row r="504" s="3" customFormat="1" x14ac:dyDescent="0.25"/>
    <row r="505" s="3" customFormat="1" x14ac:dyDescent="0.25"/>
    <row r="506" s="3" customFormat="1" x14ac:dyDescent="0.25"/>
    <row r="507" s="3" customFormat="1" x14ac:dyDescent="0.25"/>
    <row r="508" s="3" customFormat="1" x14ac:dyDescent="0.25"/>
    <row r="509" s="3" customFormat="1" x14ac:dyDescent="0.25"/>
    <row r="510" s="3" customFormat="1" x14ac:dyDescent="0.25"/>
    <row r="511" s="3" customFormat="1" x14ac:dyDescent="0.25"/>
    <row r="512" s="3" customFormat="1" x14ac:dyDescent="0.25"/>
    <row r="513" s="3" customFormat="1" x14ac:dyDescent="0.25"/>
    <row r="514" s="3" customFormat="1" x14ac:dyDescent="0.25"/>
    <row r="515" s="3" customFormat="1" x14ac:dyDescent="0.25"/>
    <row r="516" s="3" customFormat="1" x14ac:dyDescent="0.25"/>
    <row r="517" s="3" customFormat="1" x14ac:dyDescent="0.25"/>
    <row r="518" s="3" customFormat="1" x14ac:dyDescent="0.25"/>
    <row r="519" s="3" customFormat="1" x14ac:dyDescent="0.25"/>
    <row r="520" s="3" customFormat="1" x14ac:dyDescent="0.25"/>
    <row r="521" s="3" customFormat="1" x14ac:dyDescent="0.25"/>
    <row r="522" s="3" customFormat="1" x14ac:dyDescent="0.25"/>
    <row r="523" s="3" customFormat="1" x14ac:dyDescent="0.25"/>
    <row r="524" s="3" customFormat="1" x14ac:dyDescent="0.25"/>
    <row r="525" s="3" customFormat="1" x14ac:dyDescent="0.25"/>
    <row r="526" s="3" customFormat="1" x14ac:dyDescent="0.25"/>
    <row r="527" s="3" customFormat="1" x14ac:dyDescent="0.25"/>
    <row r="528" s="3" customFormat="1" x14ac:dyDescent="0.25"/>
    <row r="529" s="3" customFormat="1" x14ac:dyDescent="0.25"/>
    <row r="530" s="3" customFormat="1" x14ac:dyDescent="0.25"/>
    <row r="531" s="3" customFormat="1" x14ac:dyDescent="0.25"/>
    <row r="532" s="3" customFormat="1" x14ac:dyDescent="0.25"/>
    <row r="533" s="3" customFormat="1" x14ac:dyDescent="0.25"/>
    <row r="534" s="3" customFormat="1" x14ac:dyDescent="0.25"/>
    <row r="535" s="3" customFormat="1" x14ac:dyDescent="0.25"/>
    <row r="536" s="3" customFormat="1" x14ac:dyDescent="0.25"/>
    <row r="537" s="3" customFormat="1" x14ac:dyDescent="0.25"/>
    <row r="538" s="3" customFormat="1" x14ac:dyDescent="0.25"/>
    <row r="539" s="3" customFormat="1" x14ac:dyDescent="0.25"/>
    <row r="540" s="3" customFormat="1" x14ac:dyDescent="0.25"/>
    <row r="541" s="3" customFormat="1" x14ac:dyDescent="0.25"/>
    <row r="542" s="3" customFormat="1" x14ac:dyDescent="0.25"/>
    <row r="543" s="3" customFormat="1" x14ac:dyDescent="0.25"/>
    <row r="544" s="3" customFormat="1" x14ac:dyDescent="0.25"/>
    <row r="545" s="3" customFormat="1" x14ac:dyDescent="0.25"/>
    <row r="546" s="3" customFormat="1" x14ac:dyDescent="0.25"/>
    <row r="547" s="3" customFormat="1" x14ac:dyDescent="0.25"/>
    <row r="548" s="3" customFormat="1" x14ac:dyDescent="0.25"/>
    <row r="549" s="3" customFormat="1" x14ac:dyDescent="0.25"/>
    <row r="550" s="3" customFormat="1" x14ac:dyDescent="0.25"/>
    <row r="551" s="3" customFormat="1" x14ac:dyDescent="0.25"/>
    <row r="552" s="3" customFormat="1" x14ac:dyDescent="0.25"/>
    <row r="553" s="3" customFormat="1" x14ac:dyDescent="0.25"/>
    <row r="554" s="3" customFormat="1" x14ac:dyDescent="0.25"/>
    <row r="555" s="3" customFormat="1" x14ac:dyDescent="0.25"/>
    <row r="556" s="3" customFormat="1" x14ac:dyDescent="0.25"/>
    <row r="557" s="3" customFormat="1" x14ac:dyDescent="0.25"/>
    <row r="558" s="3" customFormat="1" x14ac:dyDescent="0.25"/>
    <row r="559" s="3" customFormat="1" x14ac:dyDescent="0.25"/>
    <row r="560" s="3" customFormat="1" x14ac:dyDescent="0.25"/>
    <row r="561" s="3" customFormat="1" x14ac:dyDescent="0.25"/>
    <row r="562" s="3" customFormat="1" x14ac:dyDescent="0.25"/>
    <row r="563" s="3" customFormat="1" x14ac:dyDescent="0.25"/>
    <row r="564" s="3" customFormat="1" x14ac:dyDescent="0.25"/>
    <row r="565" s="3" customFormat="1" x14ac:dyDescent="0.25"/>
    <row r="566" s="3" customFormat="1" x14ac:dyDescent="0.25"/>
    <row r="567" s="3" customFormat="1" x14ac:dyDescent="0.25"/>
    <row r="568" s="3" customFormat="1" x14ac:dyDescent="0.25"/>
    <row r="569" s="3" customFormat="1" x14ac:dyDescent="0.25"/>
    <row r="570" s="3" customFormat="1" x14ac:dyDescent="0.25"/>
    <row r="571" s="3" customFormat="1" x14ac:dyDescent="0.25"/>
    <row r="572" s="3" customFormat="1" x14ac:dyDescent="0.25"/>
    <row r="573" s="3" customFormat="1" x14ac:dyDescent="0.25"/>
    <row r="574" s="3" customFormat="1" x14ac:dyDescent="0.25"/>
    <row r="575" s="3" customFormat="1" x14ac:dyDescent="0.25"/>
    <row r="576" s="3" customFormat="1" x14ac:dyDescent="0.25"/>
    <row r="577" s="3" customFormat="1" x14ac:dyDescent="0.25"/>
    <row r="578" s="3" customFormat="1" x14ac:dyDescent="0.25"/>
    <row r="579" s="3" customFormat="1" x14ac:dyDescent="0.25"/>
    <row r="580" s="3" customFormat="1" x14ac:dyDescent="0.25"/>
    <row r="581" s="3" customFormat="1" x14ac:dyDescent="0.25"/>
    <row r="582" s="3" customFormat="1" x14ac:dyDescent="0.25"/>
    <row r="583" s="3" customFormat="1" x14ac:dyDescent="0.25"/>
    <row r="584" s="3" customFormat="1" x14ac:dyDescent="0.25"/>
    <row r="585" s="3" customFormat="1" x14ac:dyDescent="0.25"/>
    <row r="586" s="3" customFormat="1" x14ac:dyDescent="0.25"/>
    <row r="587" s="3" customFormat="1" x14ac:dyDescent="0.25"/>
    <row r="588" s="3" customFormat="1" x14ac:dyDescent="0.25"/>
    <row r="589" s="3" customFormat="1" x14ac:dyDescent="0.25"/>
    <row r="590" s="3" customFormat="1" x14ac:dyDescent="0.25"/>
    <row r="591" s="3" customFormat="1" x14ac:dyDescent="0.25"/>
    <row r="592" s="3" customFormat="1" x14ac:dyDescent="0.25"/>
    <row r="593" s="3" customFormat="1" x14ac:dyDescent="0.25"/>
    <row r="594" s="3" customFormat="1" x14ac:dyDescent="0.25"/>
    <row r="595" s="3" customFormat="1" x14ac:dyDescent="0.25"/>
    <row r="596" s="3" customFormat="1" x14ac:dyDescent="0.25"/>
    <row r="597" s="3" customFormat="1" x14ac:dyDescent="0.25"/>
    <row r="598" s="3" customFormat="1" x14ac:dyDescent="0.25"/>
    <row r="599" s="3" customFormat="1" x14ac:dyDescent="0.25"/>
    <row r="600" s="3" customFormat="1" x14ac:dyDescent="0.25"/>
    <row r="601" s="3" customFormat="1" x14ac:dyDescent="0.25"/>
    <row r="602" s="3" customFormat="1" x14ac:dyDescent="0.25"/>
    <row r="603" s="3" customFormat="1" x14ac:dyDescent="0.25"/>
    <row r="604" s="3" customFormat="1" x14ac:dyDescent="0.25"/>
    <row r="605" s="3" customFormat="1" x14ac:dyDescent="0.25"/>
    <row r="606" s="3" customFormat="1" x14ac:dyDescent="0.25"/>
    <row r="607" s="3" customFormat="1" x14ac:dyDescent="0.25"/>
    <row r="608" s="3" customFormat="1" x14ac:dyDescent="0.25"/>
    <row r="609" s="3" customFormat="1" x14ac:dyDescent="0.25"/>
    <row r="610" s="3" customFormat="1" x14ac:dyDescent="0.25"/>
    <row r="611" s="3" customFormat="1" x14ac:dyDescent="0.25"/>
    <row r="612" s="3" customFormat="1" x14ac:dyDescent="0.25"/>
    <row r="613" s="3" customFormat="1" x14ac:dyDescent="0.25"/>
    <row r="614" s="3" customFormat="1" x14ac:dyDescent="0.25"/>
    <row r="615" s="3" customFormat="1" x14ac:dyDescent="0.25"/>
    <row r="616" s="3" customFormat="1" x14ac:dyDescent="0.25"/>
    <row r="617" s="3" customFormat="1" x14ac:dyDescent="0.25"/>
    <row r="618" s="3" customFormat="1" x14ac:dyDescent="0.25"/>
    <row r="619" s="3" customFormat="1" x14ac:dyDescent="0.25"/>
    <row r="620" s="3" customFormat="1" x14ac:dyDescent="0.25"/>
    <row r="621" s="3" customFormat="1" x14ac:dyDescent="0.25"/>
    <row r="622" s="3" customFormat="1" x14ac:dyDescent="0.25"/>
    <row r="623" s="3" customFormat="1" x14ac:dyDescent="0.25"/>
    <row r="624" s="3" customFormat="1" x14ac:dyDescent="0.25"/>
    <row r="625" s="3" customFormat="1" x14ac:dyDescent="0.25"/>
    <row r="626" s="3" customFormat="1" x14ac:dyDescent="0.25"/>
    <row r="627" s="3" customFormat="1" x14ac:dyDescent="0.25"/>
    <row r="628" s="3" customFormat="1" x14ac:dyDescent="0.25"/>
    <row r="629" s="3" customFormat="1" x14ac:dyDescent="0.25"/>
    <row r="630" s="3" customFormat="1" x14ac:dyDescent="0.25"/>
    <row r="631" s="3" customFormat="1" x14ac:dyDescent="0.25"/>
    <row r="632" s="3" customFormat="1" x14ac:dyDescent="0.25"/>
    <row r="633" s="3" customFormat="1" x14ac:dyDescent="0.25"/>
    <row r="634" s="3" customFormat="1" x14ac:dyDescent="0.25"/>
    <row r="635" s="3" customFormat="1" x14ac:dyDescent="0.25"/>
    <row r="636" s="3" customFormat="1" x14ac:dyDescent="0.25"/>
    <row r="637" s="3" customFormat="1" x14ac:dyDescent="0.25"/>
    <row r="638" s="3" customFormat="1" x14ac:dyDescent="0.25"/>
    <row r="639" s="3" customFormat="1" x14ac:dyDescent="0.25"/>
    <row r="640" s="3" customFormat="1" x14ac:dyDescent="0.25"/>
    <row r="641" s="3" customFormat="1" x14ac:dyDescent="0.25"/>
    <row r="642" s="3" customFormat="1" x14ac:dyDescent="0.25"/>
    <row r="643" s="3" customFormat="1" x14ac:dyDescent="0.25"/>
    <row r="644" s="3" customFormat="1" x14ac:dyDescent="0.25"/>
    <row r="645" s="3" customFormat="1" x14ac:dyDescent="0.25"/>
    <row r="646" s="3" customFormat="1" x14ac:dyDescent="0.25"/>
    <row r="647" s="3" customFormat="1" x14ac:dyDescent="0.25"/>
    <row r="648" s="3" customFormat="1" x14ac:dyDescent="0.25"/>
    <row r="649" s="3" customFormat="1" x14ac:dyDescent="0.25"/>
    <row r="650" s="3" customFormat="1" x14ac:dyDescent="0.25"/>
    <row r="651" s="3" customFormat="1" x14ac:dyDescent="0.25"/>
    <row r="652" s="3" customFormat="1" x14ac:dyDescent="0.25"/>
    <row r="653" s="3" customFormat="1" x14ac:dyDescent="0.25"/>
    <row r="654" s="3" customFormat="1" x14ac:dyDescent="0.25"/>
    <row r="655" s="3" customFormat="1" x14ac:dyDescent="0.25"/>
    <row r="656" s="3" customFormat="1" x14ac:dyDescent="0.25"/>
    <row r="657" s="3" customFormat="1" x14ac:dyDescent="0.25"/>
    <row r="658" s="3" customFormat="1" x14ac:dyDescent="0.25"/>
    <row r="659" s="3" customFormat="1" x14ac:dyDescent="0.25"/>
    <row r="660" s="3" customFormat="1" x14ac:dyDescent="0.25"/>
    <row r="661" s="3" customFormat="1" x14ac:dyDescent="0.25"/>
    <row r="662" s="3" customFormat="1" x14ac:dyDescent="0.25"/>
    <row r="663" s="3" customFormat="1" x14ac:dyDescent="0.25"/>
    <row r="664" s="3" customFormat="1" x14ac:dyDescent="0.25"/>
    <row r="665" s="3" customFormat="1" x14ac:dyDescent="0.25"/>
    <row r="666" s="3" customFormat="1" x14ac:dyDescent="0.25"/>
    <row r="667" s="3" customFormat="1" x14ac:dyDescent="0.25"/>
    <row r="668" s="3" customFormat="1" x14ac:dyDescent="0.25"/>
    <row r="669" s="3" customFormat="1" x14ac:dyDescent="0.25"/>
    <row r="670" s="3" customFormat="1" x14ac:dyDescent="0.25"/>
    <row r="671" s="3" customFormat="1" x14ac:dyDescent="0.25"/>
    <row r="672" s="3" customFormat="1" x14ac:dyDescent="0.25"/>
    <row r="673" s="3" customFormat="1" x14ac:dyDescent="0.25"/>
    <row r="674" s="3" customFormat="1" x14ac:dyDescent="0.25"/>
    <row r="675" s="3" customFormat="1" x14ac:dyDescent="0.25"/>
    <row r="676" s="3" customFormat="1" x14ac:dyDescent="0.25"/>
    <row r="677" s="3" customFormat="1" x14ac:dyDescent="0.25"/>
    <row r="678" s="3" customFormat="1" x14ac:dyDescent="0.25"/>
    <row r="679" s="3" customFormat="1" x14ac:dyDescent="0.25"/>
    <row r="680" s="3" customFormat="1" x14ac:dyDescent="0.25"/>
    <row r="681" s="3" customFormat="1" x14ac:dyDescent="0.25"/>
    <row r="682" s="3" customFormat="1" x14ac:dyDescent="0.25"/>
    <row r="683" s="3" customFormat="1" x14ac:dyDescent="0.25"/>
    <row r="684" s="3" customFormat="1" x14ac:dyDescent="0.25"/>
    <row r="685" s="3" customFormat="1" x14ac:dyDescent="0.25"/>
    <row r="686" s="3" customFormat="1" x14ac:dyDescent="0.25"/>
    <row r="687" s="3" customFormat="1" x14ac:dyDescent="0.25"/>
    <row r="688" s="3" customFormat="1" x14ac:dyDescent="0.25"/>
    <row r="689" s="3" customFormat="1" x14ac:dyDescent="0.25"/>
    <row r="690" s="3" customFormat="1" x14ac:dyDescent="0.25"/>
    <row r="691" s="3" customFormat="1" x14ac:dyDescent="0.25"/>
    <row r="692" s="3" customFormat="1" x14ac:dyDescent="0.25"/>
    <row r="693" s="3" customFormat="1" x14ac:dyDescent="0.25"/>
    <row r="694" s="3" customFormat="1" x14ac:dyDescent="0.25"/>
    <row r="695" s="3" customFormat="1" x14ac:dyDescent="0.25"/>
    <row r="696" s="3" customFormat="1" x14ac:dyDescent="0.25"/>
    <row r="697" s="3" customFormat="1" x14ac:dyDescent="0.25"/>
    <row r="698" s="3" customFormat="1" x14ac:dyDescent="0.25"/>
    <row r="699" s="3" customFormat="1" x14ac:dyDescent="0.25"/>
    <row r="700" s="3" customFormat="1" x14ac:dyDescent="0.25"/>
    <row r="701" s="3" customFormat="1" x14ac:dyDescent="0.25"/>
    <row r="702" s="3" customFormat="1" x14ac:dyDescent="0.25"/>
    <row r="703" s="3" customFormat="1" x14ac:dyDescent="0.25"/>
    <row r="704" s="3" customFormat="1" x14ac:dyDescent="0.25"/>
    <row r="705" s="3" customFormat="1" x14ac:dyDescent="0.25"/>
    <row r="706" s="3" customFormat="1" x14ac:dyDescent="0.25"/>
    <row r="707" s="3" customFormat="1" x14ac:dyDescent="0.25"/>
    <row r="708" s="3" customFormat="1" x14ac:dyDescent="0.25"/>
    <row r="709" s="3" customFormat="1" x14ac:dyDescent="0.25"/>
    <row r="710" s="3" customFormat="1" x14ac:dyDescent="0.25"/>
    <row r="711" s="3" customFormat="1" x14ac:dyDescent="0.25"/>
    <row r="712" s="3" customFormat="1" x14ac:dyDescent="0.25"/>
    <row r="713" s="3" customFormat="1" x14ac:dyDescent="0.25"/>
    <row r="714" s="3" customFormat="1" x14ac:dyDescent="0.25"/>
    <row r="715" s="3" customFormat="1" x14ac:dyDescent="0.25"/>
    <row r="716" s="3" customFormat="1" x14ac:dyDescent="0.25"/>
    <row r="717" s="3" customFormat="1" x14ac:dyDescent="0.25"/>
    <row r="718" s="3" customFormat="1" x14ac:dyDescent="0.25"/>
    <row r="719" s="3" customFormat="1" x14ac:dyDescent="0.25"/>
    <row r="720" s="3" customFormat="1" x14ac:dyDescent="0.25"/>
    <row r="721" s="3" customFormat="1" x14ac:dyDescent="0.25"/>
    <row r="722" s="3" customFormat="1" x14ac:dyDescent="0.25"/>
    <row r="723" s="3" customFormat="1" x14ac:dyDescent="0.25"/>
    <row r="724" s="3" customFormat="1" x14ac:dyDescent="0.25"/>
    <row r="725" s="3" customFormat="1" x14ac:dyDescent="0.25"/>
    <row r="726" s="3" customFormat="1" x14ac:dyDescent="0.25"/>
    <row r="727" s="3" customFormat="1" x14ac:dyDescent="0.25"/>
    <row r="728" s="3" customFormat="1" x14ac:dyDescent="0.25"/>
    <row r="729" s="3" customFormat="1" x14ac:dyDescent="0.25"/>
    <row r="730" s="3" customFormat="1" x14ac:dyDescent="0.25"/>
    <row r="731" s="3" customFormat="1" x14ac:dyDescent="0.25"/>
    <row r="732" s="3" customFormat="1" x14ac:dyDescent="0.25"/>
    <row r="733" s="3" customFormat="1" x14ac:dyDescent="0.25"/>
    <row r="734" s="3" customFormat="1" x14ac:dyDescent="0.25"/>
    <row r="735" s="3" customFormat="1" x14ac:dyDescent="0.25"/>
    <row r="736" s="3" customFormat="1" x14ac:dyDescent="0.25"/>
    <row r="737" s="3" customFormat="1" x14ac:dyDescent="0.25"/>
    <row r="738" s="3" customFormat="1" x14ac:dyDescent="0.25"/>
    <row r="739" s="3" customFormat="1" x14ac:dyDescent="0.25"/>
    <row r="740" s="3" customFormat="1" x14ac:dyDescent="0.25"/>
    <row r="741" s="3" customFormat="1" x14ac:dyDescent="0.25"/>
    <row r="742" s="3" customFormat="1" x14ac:dyDescent="0.25"/>
    <row r="743" s="3" customFormat="1" x14ac:dyDescent="0.25"/>
    <row r="744" s="3" customFormat="1" x14ac:dyDescent="0.25"/>
    <row r="745" s="3" customFormat="1" x14ac:dyDescent="0.25"/>
    <row r="746" s="3" customFormat="1" x14ac:dyDescent="0.25"/>
    <row r="747" s="3" customFormat="1" x14ac:dyDescent="0.25"/>
    <row r="748" s="3" customFormat="1" x14ac:dyDescent="0.25"/>
    <row r="749" s="3" customFormat="1" x14ac:dyDescent="0.25"/>
    <row r="750" s="3" customFormat="1" x14ac:dyDescent="0.25"/>
    <row r="751" s="3" customFormat="1" x14ac:dyDescent="0.25"/>
    <row r="752" s="3" customFormat="1" x14ac:dyDescent="0.25"/>
    <row r="753" s="3" customFormat="1" x14ac:dyDescent="0.25"/>
    <row r="754" s="3" customFormat="1" x14ac:dyDescent="0.25"/>
    <row r="755" s="3" customFormat="1" x14ac:dyDescent="0.25"/>
    <row r="756" s="3" customFormat="1" x14ac:dyDescent="0.25"/>
    <row r="757" s="3" customFormat="1" x14ac:dyDescent="0.25"/>
    <row r="758" s="3" customFormat="1" x14ac:dyDescent="0.25"/>
    <row r="759" s="3" customFormat="1" x14ac:dyDescent="0.25"/>
    <row r="760" s="3" customFormat="1" x14ac:dyDescent="0.25"/>
    <row r="761" s="3" customFormat="1" x14ac:dyDescent="0.25"/>
    <row r="762" s="3" customFormat="1" x14ac:dyDescent="0.25"/>
    <row r="763" s="3" customFormat="1" x14ac:dyDescent="0.25"/>
    <row r="764" s="3" customFormat="1" x14ac:dyDescent="0.25"/>
    <row r="765" s="3" customFormat="1" x14ac:dyDescent="0.25"/>
    <row r="766" s="3" customFormat="1" x14ac:dyDescent="0.25"/>
    <row r="767" s="3" customFormat="1" x14ac:dyDescent="0.25"/>
    <row r="768" s="3" customFormat="1" x14ac:dyDescent="0.25"/>
    <row r="769" s="3" customFormat="1" x14ac:dyDescent="0.25"/>
    <row r="770" s="3" customFormat="1" x14ac:dyDescent="0.25"/>
    <row r="771" s="3" customFormat="1" x14ac:dyDescent="0.25"/>
    <row r="772" s="3" customFormat="1" x14ac:dyDescent="0.25"/>
    <row r="773" s="3" customFormat="1" x14ac:dyDescent="0.25"/>
    <row r="774" s="3" customFormat="1" x14ac:dyDescent="0.25"/>
    <row r="775" s="3" customFormat="1" x14ac:dyDescent="0.25"/>
    <row r="776" s="3" customFormat="1" x14ac:dyDescent="0.25"/>
    <row r="777" s="3" customFormat="1" x14ac:dyDescent="0.25"/>
    <row r="778" s="3" customFormat="1" x14ac:dyDescent="0.25"/>
    <row r="779" s="3" customFormat="1" x14ac:dyDescent="0.25"/>
    <row r="780" s="3" customFormat="1" x14ac:dyDescent="0.25"/>
    <row r="781" s="3" customFormat="1" x14ac:dyDescent="0.25"/>
    <row r="782" s="3" customFormat="1" x14ac:dyDescent="0.25"/>
    <row r="783" s="3" customFormat="1" x14ac:dyDescent="0.25"/>
    <row r="784" s="3" customFormat="1" x14ac:dyDescent="0.25"/>
    <row r="785" s="3" customFormat="1" x14ac:dyDescent="0.25"/>
    <row r="786" s="3" customFormat="1" x14ac:dyDescent="0.25"/>
    <row r="787" s="3" customFormat="1" x14ac:dyDescent="0.25"/>
    <row r="788" s="3" customFormat="1" x14ac:dyDescent="0.25"/>
    <row r="789" s="3" customFormat="1" x14ac:dyDescent="0.25"/>
    <row r="790" s="3" customFormat="1" x14ac:dyDescent="0.25"/>
    <row r="791" s="3" customFormat="1" x14ac:dyDescent="0.25"/>
    <row r="792" s="3" customFormat="1" x14ac:dyDescent="0.25"/>
    <row r="793" s="3" customFormat="1" x14ac:dyDescent="0.25"/>
    <row r="794" s="3" customFormat="1" x14ac:dyDescent="0.25"/>
    <row r="795" s="3" customFormat="1" x14ac:dyDescent="0.25"/>
    <row r="796" s="3" customFormat="1" x14ac:dyDescent="0.25"/>
    <row r="797" s="3" customFormat="1" x14ac:dyDescent="0.25"/>
    <row r="798" s="3" customFormat="1" x14ac:dyDescent="0.25"/>
    <row r="799" s="3" customFormat="1" x14ac:dyDescent="0.25"/>
    <row r="800" s="3" customFormat="1" x14ac:dyDescent="0.25"/>
    <row r="801" s="3" customFormat="1" x14ac:dyDescent="0.25"/>
    <row r="802" s="3" customFormat="1" x14ac:dyDescent="0.25"/>
    <row r="803" s="3" customFormat="1" x14ac:dyDescent="0.25"/>
    <row r="804" s="3" customFormat="1" x14ac:dyDescent="0.25"/>
    <row r="805" s="3" customFormat="1" x14ac:dyDescent="0.25"/>
    <row r="806" s="3" customFormat="1" x14ac:dyDescent="0.25"/>
    <row r="807" s="3" customFormat="1" x14ac:dyDescent="0.25"/>
    <row r="808" s="3" customFormat="1" x14ac:dyDescent="0.25"/>
    <row r="809" s="3" customFormat="1" x14ac:dyDescent="0.25"/>
    <row r="810" s="3" customFormat="1" x14ac:dyDescent="0.25"/>
    <row r="811" s="3" customFormat="1" x14ac:dyDescent="0.25"/>
    <row r="812" s="3" customFormat="1" x14ac:dyDescent="0.25"/>
    <row r="813" s="3" customFormat="1" x14ac:dyDescent="0.25"/>
    <row r="814" s="3" customFormat="1" x14ac:dyDescent="0.25"/>
    <row r="815" s="3" customFormat="1" x14ac:dyDescent="0.25"/>
    <row r="816" s="3" customFormat="1" x14ac:dyDescent="0.25"/>
    <row r="817" s="3" customFormat="1" x14ac:dyDescent="0.25"/>
    <row r="818" s="3" customFormat="1" x14ac:dyDescent="0.25"/>
    <row r="819" s="3" customFormat="1" x14ac:dyDescent="0.25"/>
    <row r="820" s="3" customFormat="1" x14ac:dyDescent="0.25"/>
    <row r="821" s="3" customFormat="1" x14ac:dyDescent="0.25"/>
    <row r="822" s="3" customFormat="1" x14ac:dyDescent="0.25"/>
    <row r="823" s="3" customFormat="1" x14ac:dyDescent="0.25"/>
    <row r="824" s="3" customFormat="1" x14ac:dyDescent="0.25"/>
    <row r="825" s="3" customFormat="1" x14ac:dyDescent="0.25"/>
    <row r="826" s="3" customFormat="1" x14ac:dyDescent="0.25"/>
    <row r="827" s="3" customFormat="1" x14ac:dyDescent="0.25"/>
    <row r="828" s="3" customFormat="1" x14ac:dyDescent="0.25"/>
    <row r="829" s="3" customFormat="1" x14ac:dyDescent="0.25"/>
    <row r="830" s="3" customFormat="1" x14ac:dyDescent="0.25"/>
    <row r="831" s="3" customFormat="1" x14ac:dyDescent="0.25"/>
    <row r="832" s="3" customFormat="1" x14ac:dyDescent="0.25"/>
    <row r="833" s="3" customFormat="1" x14ac:dyDescent="0.25"/>
    <row r="834" s="3" customFormat="1" x14ac:dyDescent="0.25"/>
    <row r="835" s="3" customFormat="1" x14ac:dyDescent="0.25"/>
    <row r="836" s="3" customFormat="1" x14ac:dyDescent="0.25"/>
    <row r="837" s="3" customFormat="1" x14ac:dyDescent="0.25"/>
    <row r="838" s="3" customFormat="1" x14ac:dyDescent="0.25"/>
    <row r="839" s="3" customFormat="1" x14ac:dyDescent="0.25"/>
    <row r="840" s="3" customFormat="1" x14ac:dyDescent="0.25"/>
    <row r="841" s="3" customFormat="1" x14ac:dyDescent="0.25"/>
    <row r="842" s="3" customFormat="1" x14ac:dyDescent="0.25"/>
    <row r="843" s="3" customFormat="1" x14ac:dyDescent="0.25"/>
    <row r="844" s="3" customFormat="1" x14ac:dyDescent="0.25"/>
    <row r="845" s="3" customFormat="1" x14ac:dyDescent="0.25"/>
    <row r="846" s="3" customFormat="1" x14ac:dyDescent="0.25"/>
    <row r="847" s="3" customFormat="1" x14ac:dyDescent="0.25"/>
    <row r="848" s="3" customFormat="1" x14ac:dyDescent="0.25"/>
    <row r="849" s="3" customFormat="1" x14ac:dyDescent="0.25"/>
    <row r="850" s="3" customFormat="1" x14ac:dyDescent="0.25"/>
    <row r="851" s="3" customFormat="1" x14ac:dyDescent="0.25"/>
    <row r="852" s="3" customFormat="1" x14ac:dyDescent="0.25"/>
    <row r="853" s="3" customFormat="1" x14ac:dyDescent="0.25"/>
    <row r="854" s="3" customFormat="1" x14ac:dyDescent="0.25"/>
    <row r="855" s="3" customFormat="1" x14ac:dyDescent="0.25"/>
    <row r="856" s="3" customFormat="1" x14ac:dyDescent="0.25"/>
    <row r="857" s="3" customFormat="1" x14ac:dyDescent="0.25"/>
    <row r="858" s="3" customFormat="1" x14ac:dyDescent="0.25"/>
    <row r="859" s="3" customFormat="1" x14ac:dyDescent="0.25"/>
    <row r="860" s="3" customFormat="1" x14ac:dyDescent="0.25"/>
    <row r="861" s="3" customFormat="1" x14ac:dyDescent="0.25"/>
    <row r="862" s="3" customFormat="1" x14ac:dyDescent="0.25"/>
    <row r="863" s="3" customFormat="1" x14ac:dyDescent="0.25"/>
    <row r="864" s="3" customFormat="1" x14ac:dyDescent="0.25"/>
    <row r="865" s="3" customFormat="1" x14ac:dyDescent="0.25"/>
    <row r="866" s="3" customFormat="1" x14ac:dyDescent="0.25"/>
    <row r="867" s="3" customFormat="1" x14ac:dyDescent="0.25"/>
    <row r="868" s="3" customFormat="1" x14ac:dyDescent="0.25"/>
    <row r="869" s="3" customFormat="1" x14ac:dyDescent="0.25"/>
    <row r="870" s="3" customFormat="1" x14ac:dyDescent="0.25"/>
    <row r="871" s="3" customFormat="1" x14ac:dyDescent="0.25"/>
    <row r="872" s="3" customFormat="1" x14ac:dyDescent="0.25"/>
    <row r="873" s="3" customFormat="1" x14ac:dyDescent="0.25"/>
    <row r="874" s="3" customFormat="1" x14ac:dyDescent="0.25"/>
    <row r="875" s="3" customFormat="1" x14ac:dyDescent="0.25"/>
    <row r="876" s="3" customFormat="1" x14ac:dyDescent="0.25"/>
    <row r="877" s="3" customFormat="1" x14ac:dyDescent="0.25"/>
    <row r="878" s="3" customFormat="1" x14ac:dyDescent="0.25"/>
    <row r="879" s="3" customFormat="1" x14ac:dyDescent="0.25"/>
    <row r="880" s="3" customFormat="1" x14ac:dyDescent="0.25"/>
    <row r="881" s="3" customFormat="1" x14ac:dyDescent="0.25"/>
    <row r="882" s="3" customFormat="1" x14ac:dyDescent="0.25"/>
    <row r="883" s="3" customFormat="1" x14ac:dyDescent="0.25"/>
    <row r="884" s="3" customFormat="1" x14ac:dyDescent="0.25"/>
    <row r="885" s="3" customFormat="1" x14ac:dyDescent="0.25"/>
    <row r="886" s="3" customFormat="1" x14ac:dyDescent="0.25"/>
    <row r="887" s="3" customFormat="1" x14ac:dyDescent="0.25"/>
    <row r="888" s="3" customFormat="1" x14ac:dyDescent="0.25"/>
    <row r="889" s="3" customFormat="1" x14ac:dyDescent="0.25"/>
    <row r="890" s="3" customFormat="1" x14ac:dyDescent="0.25"/>
    <row r="891" s="3" customFormat="1" x14ac:dyDescent="0.25"/>
    <row r="892" s="3" customFormat="1" x14ac:dyDescent="0.25"/>
    <row r="893" s="3" customFormat="1" x14ac:dyDescent="0.25"/>
    <row r="894" s="3" customFormat="1" x14ac:dyDescent="0.25"/>
    <row r="895" s="3" customFormat="1" x14ac:dyDescent="0.25"/>
    <row r="896" s="3" customFormat="1" x14ac:dyDescent="0.25"/>
    <row r="897" s="3" customFormat="1" x14ac:dyDescent="0.25"/>
    <row r="898" s="3" customFormat="1" x14ac:dyDescent="0.25"/>
    <row r="899" s="3" customFormat="1" x14ac:dyDescent="0.25"/>
    <row r="900" s="3" customFormat="1" x14ac:dyDescent="0.25"/>
    <row r="901" s="3" customFormat="1" x14ac:dyDescent="0.25"/>
    <row r="902" s="3" customFormat="1" x14ac:dyDescent="0.25"/>
    <row r="903" s="3" customFormat="1" x14ac:dyDescent="0.25"/>
    <row r="904" s="3" customFormat="1" x14ac:dyDescent="0.25"/>
    <row r="905" s="3" customFormat="1" x14ac:dyDescent="0.25"/>
    <row r="906" s="3" customFormat="1" x14ac:dyDescent="0.25"/>
    <row r="907" s="3" customFormat="1" x14ac:dyDescent="0.25"/>
    <row r="908" s="3" customFormat="1" x14ac:dyDescent="0.25"/>
    <row r="909" s="3" customFormat="1" x14ac:dyDescent="0.25"/>
    <row r="910" s="3" customFormat="1" x14ac:dyDescent="0.25"/>
    <row r="911" s="3" customFormat="1" x14ac:dyDescent="0.25"/>
    <row r="912" s="3" customFormat="1" x14ac:dyDescent="0.25"/>
    <row r="913" s="3" customFormat="1" x14ac:dyDescent="0.25"/>
    <row r="914" s="3" customFormat="1" x14ac:dyDescent="0.25"/>
    <row r="915" s="3" customFormat="1" x14ac:dyDescent="0.25"/>
    <row r="916" s="3" customFormat="1" x14ac:dyDescent="0.25"/>
    <row r="917" s="3" customFormat="1" x14ac:dyDescent="0.25"/>
    <row r="918" s="3" customFormat="1" x14ac:dyDescent="0.25"/>
    <row r="919" s="3" customFormat="1" x14ac:dyDescent="0.25"/>
    <row r="920" s="3" customFormat="1" x14ac:dyDescent="0.25"/>
    <row r="921" s="3" customFormat="1" x14ac:dyDescent="0.25"/>
    <row r="922" s="3" customFormat="1" x14ac:dyDescent="0.25"/>
    <row r="923" s="3" customFormat="1" x14ac:dyDescent="0.25"/>
    <row r="924" s="3" customFormat="1" x14ac:dyDescent="0.25"/>
    <row r="925" s="3" customFormat="1" x14ac:dyDescent="0.25"/>
    <row r="926" s="3" customFormat="1" x14ac:dyDescent="0.25"/>
    <row r="927" s="3" customFormat="1" x14ac:dyDescent="0.25"/>
    <row r="928" s="3" customFormat="1" x14ac:dyDescent="0.25"/>
    <row r="929" s="3" customFormat="1" x14ac:dyDescent="0.25"/>
    <row r="930" s="3" customFormat="1" x14ac:dyDescent="0.25"/>
    <row r="931" s="3" customFormat="1" x14ac:dyDescent="0.25"/>
    <row r="932" s="3" customFormat="1" x14ac:dyDescent="0.25"/>
    <row r="933" s="3" customFormat="1" x14ac:dyDescent="0.25"/>
    <row r="934" s="3" customFormat="1" x14ac:dyDescent="0.25"/>
    <row r="935" s="3" customFormat="1" x14ac:dyDescent="0.25"/>
    <row r="936" s="3" customFormat="1" x14ac:dyDescent="0.25"/>
    <row r="937" s="3" customFormat="1" x14ac:dyDescent="0.25"/>
    <row r="938" s="3" customFormat="1" x14ac:dyDescent="0.25"/>
    <row r="939" s="3" customFormat="1" x14ac:dyDescent="0.25"/>
    <row r="940" s="3" customFormat="1" x14ac:dyDescent="0.25"/>
    <row r="941" s="3" customFormat="1" x14ac:dyDescent="0.25"/>
    <row r="942" s="3" customFormat="1" x14ac:dyDescent="0.25"/>
    <row r="943" s="3" customFormat="1" x14ac:dyDescent="0.25"/>
    <row r="944" s="3" customFormat="1" x14ac:dyDescent="0.25"/>
    <row r="945" s="3" customFormat="1" x14ac:dyDescent="0.25"/>
    <row r="946" s="3" customFormat="1" x14ac:dyDescent="0.25"/>
    <row r="947" s="3" customFormat="1" x14ac:dyDescent="0.25"/>
    <row r="948" s="3" customFormat="1" x14ac:dyDescent="0.25"/>
    <row r="949" s="3" customFormat="1" x14ac:dyDescent="0.25"/>
    <row r="950" s="3" customFormat="1" x14ac:dyDescent="0.25"/>
    <row r="951" s="3" customFormat="1" x14ac:dyDescent="0.25"/>
    <row r="952" s="3" customFormat="1" x14ac:dyDescent="0.25"/>
    <row r="953" s="3" customFormat="1" x14ac:dyDescent="0.25"/>
    <row r="954" s="3" customFormat="1" x14ac:dyDescent="0.25"/>
    <row r="955" s="3" customFormat="1" x14ac:dyDescent="0.25"/>
    <row r="956" s="3" customFormat="1" x14ac:dyDescent="0.25"/>
    <row r="957" s="3" customFormat="1" x14ac:dyDescent="0.25"/>
    <row r="958" s="3" customFormat="1" x14ac:dyDescent="0.25"/>
    <row r="959" s="3" customFormat="1" x14ac:dyDescent="0.25"/>
    <row r="960" s="3" customFormat="1" x14ac:dyDescent="0.25"/>
    <row r="961" s="3" customFormat="1" x14ac:dyDescent="0.25"/>
    <row r="962" s="3" customFormat="1" x14ac:dyDescent="0.25"/>
    <row r="963" s="3" customFormat="1" x14ac:dyDescent="0.25"/>
    <row r="964" s="3" customFormat="1" x14ac:dyDescent="0.25"/>
    <row r="965" s="3" customFormat="1" x14ac:dyDescent="0.25"/>
    <row r="966" s="3" customFormat="1" x14ac:dyDescent="0.25"/>
    <row r="967" s="3" customFormat="1" x14ac:dyDescent="0.25"/>
    <row r="968" s="3" customFormat="1" x14ac:dyDescent="0.25"/>
    <row r="969" s="3" customFormat="1" x14ac:dyDescent="0.25"/>
    <row r="970" s="3" customFormat="1" x14ac:dyDescent="0.25"/>
    <row r="971" s="3" customFormat="1" x14ac:dyDescent="0.25"/>
    <row r="972" s="3" customFormat="1" x14ac:dyDescent="0.25"/>
    <row r="973" s="3" customFormat="1" x14ac:dyDescent="0.25"/>
    <row r="974" s="3" customFormat="1" x14ac:dyDescent="0.25"/>
    <row r="975" s="3" customFormat="1" x14ac:dyDescent="0.25"/>
    <row r="976" s="3" customFormat="1" x14ac:dyDescent="0.25"/>
    <row r="977" s="3" customFormat="1" x14ac:dyDescent="0.25"/>
    <row r="978" s="3" customFormat="1" x14ac:dyDescent="0.25"/>
    <row r="979" s="3" customFormat="1" x14ac:dyDescent="0.25"/>
    <row r="980" s="3" customFormat="1" x14ac:dyDescent="0.25"/>
    <row r="981" s="3" customFormat="1" x14ac:dyDescent="0.25"/>
    <row r="982" s="3" customFormat="1" x14ac:dyDescent="0.25"/>
    <row r="983" s="3" customFormat="1" x14ac:dyDescent="0.25"/>
    <row r="984" s="3" customFormat="1" x14ac:dyDescent="0.25"/>
    <row r="985" s="3" customFormat="1" x14ac:dyDescent="0.25"/>
    <row r="986" s="3" customFormat="1" x14ac:dyDescent="0.25"/>
    <row r="987" s="3" customFormat="1" x14ac:dyDescent="0.25"/>
    <row r="988" s="3" customFormat="1" x14ac:dyDescent="0.25"/>
    <row r="989" s="3" customFormat="1" x14ac:dyDescent="0.25"/>
    <row r="990" s="3" customFormat="1" x14ac:dyDescent="0.25"/>
    <row r="991" s="3" customFormat="1" x14ac:dyDescent="0.25"/>
    <row r="992" s="3" customFormat="1" x14ac:dyDescent="0.25"/>
    <row r="993" s="3" customFormat="1" x14ac:dyDescent="0.25"/>
    <row r="994" s="3" customFormat="1" x14ac:dyDescent="0.25"/>
    <row r="995" s="3" customFormat="1" x14ac:dyDescent="0.25"/>
    <row r="996" s="3" customFormat="1" x14ac:dyDescent="0.25"/>
    <row r="997" s="3" customFormat="1" x14ac:dyDescent="0.25"/>
    <row r="998" s="3" customFormat="1" x14ac:dyDescent="0.25"/>
    <row r="999" s="3" customFormat="1" x14ac:dyDescent="0.25"/>
    <row r="1000" s="3" customFormat="1" x14ac:dyDescent="0.25"/>
    <row r="1001" s="3" customFormat="1" x14ac:dyDescent="0.25"/>
    <row r="1002" s="3" customFormat="1" x14ac:dyDescent="0.25"/>
    <row r="1003" s="3" customFormat="1" x14ac:dyDescent="0.25"/>
    <row r="1004" s="3" customFormat="1" x14ac:dyDescent="0.25"/>
    <row r="1005" s="3" customFormat="1" x14ac:dyDescent="0.25"/>
    <row r="1006" s="3" customFormat="1" x14ac:dyDescent="0.25"/>
    <row r="1007" s="3" customFormat="1" x14ac:dyDescent="0.25"/>
    <row r="1008" s="3" customFormat="1" x14ac:dyDescent="0.25"/>
    <row r="1009" s="3" customFormat="1" x14ac:dyDescent="0.25"/>
    <row r="1010" s="3" customFormat="1" x14ac:dyDescent="0.25"/>
    <row r="1011" s="3" customFormat="1" x14ac:dyDescent="0.25"/>
    <row r="1012" s="3" customFormat="1" x14ac:dyDescent="0.25"/>
    <row r="1013" s="3" customFormat="1" x14ac:dyDescent="0.25"/>
    <row r="1014" s="3" customFormat="1" x14ac:dyDescent="0.25"/>
    <row r="1015" s="3" customFormat="1" x14ac:dyDescent="0.25"/>
    <row r="1016" s="3" customFormat="1" x14ac:dyDescent="0.25"/>
    <row r="1017" s="3" customFormat="1" x14ac:dyDescent="0.25"/>
    <row r="1018" s="3" customFormat="1" x14ac:dyDescent="0.25"/>
    <row r="1019" s="3" customFormat="1" x14ac:dyDescent="0.25"/>
    <row r="1020" s="3" customFormat="1" x14ac:dyDescent="0.25"/>
    <row r="1021" s="3" customFormat="1" x14ac:dyDescent="0.25"/>
    <row r="1022" s="3" customFormat="1" x14ac:dyDescent="0.25"/>
    <row r="1023" s="3" customFormat="1" x14ac:dyDescent="0.25"/>
    <row r="1024" s="3" customFormat="1" x14ac:dyDescent="0.25"/>
    <row r="1025" s="3" customFormat="1" x14ac:dyDescent="0.25"/>
    <row r="1026" s="3" customFormat="1" x14ac:dyDescent="0.25"/>
    <row r="1027" s="3" customFormat="1" x14ac:dyDescent="0.25"/>
    <row r="1028" s="3" customFormat="1" x14ac:dyDescent="0.25"/>
    <row r="1029" s="3" customFormat="1" x14ac:dyDescent="0.25"/>
    <row r="1030" s="3" customFormat="1" x14ac:dyDescent="0.25"/>
    <row r="1031" s="3" customFormat="1" x14ac:dyDescent="0.25"/>
    <row r="1032" s="3" customFormat="1" x14ac:dyDescent="0.25"/>
    <row r="1033" s="3" customFormat="1" x14ac:dyDescent="0.25"/>
    <row r="1034" s="3" customFormat="1" x14ac:dyDescent="0.25"/>
    <row r="1035" s="3" customFormat="1" x14ac:dyDescent="0.25"/>
    <row r="1036" s="3" customFormat="1" x14ac:dyDescent="0.25"/>
    <row r="1037" s="3" customFormat="1" x14ac:dyDescent="0.25"/>
    <row r="1038" s="3" customFormat="1" x14ac:dyDescent="0.25"/>
    <row r="1039" s="3" customFormat="1" x14ac:dyDescent="0.25"/>
    <row r="1040" s="3" customFormat="1" x14ac:dyDescent="0.25"/>
    <row r="1041" s="3" customFormat="1" x14ac:dyDescent="0.25"/>
    <row r="1042" s="3" customFormat="1" x14ac:dyDescent="0.25"/>
    <row r="1043" s="3" customFormat="1" x14ac:dyDescent="0.25"/>
    <row r="1044" s="3" customFormat="1" x14ac:dyDescent="0.25"/>
    <row r="1045" s="3" customFormat="1" x14ac:dyDescent="0.25"/>
    <row r="1046" s="3" customFormat="1" x14ac:dyDescent="0.25"/>
    <row r="1047" s="3" customFormat="1" x14ac:dyDescent="0.25"/>
    <row r="1048" s="3" customFormat="1" x14ac:dyDescent="0.25"/>
    <row r="1049" s="3" customFormat="1" x14ac:dyDescent="0.25"/>
    <row r="1050" s="3" customFormat="1" x14ac:dyDescent="0.25"/>
    <row r="1051" s="3" customFormat="1" x14ac:dyDescent="0.25"/>
    <row r="1052" s="3" customFormat="1" x14ac:dyDescent="0.25"/>
    <row r="1053" s="3" customFormat="1" x14ac:dyDescent="0.25"/>
    <row r="1054" s="3" customFormat="1" x14ac:dyDescent="0.25"/>
    <row r="1055" s="3" customFormat="1" x14ac:dyDescent="0.25"/>
    <row r="1056" s="3" customFormat="1" x14ac:dyDescent="0.25"/>
    <row r="1057" s="3" customFormat="1" x14ac:dyDescent="0.25"/>
    <row r="1058" s="3" customFormat="1" x14ac:dyDescent="0.25"/>
    <row r="1059" s="3" customFormat="1" x14ac:dyDescent="0.25"/>
    <row r="1060" s="3" customFormat="1" x14ac:dyDescent="0.25"/>
    <row r="1061" s="3" customFormat="1" x14ac:dyDescent="0.25"/>
    <row r="1062" s="3" customFormat="1" x14ac:dyDescent="0.25"/>
    <row r="1063" s="3" customFormat="1" x14ac:dyDescent="0.25"/>
    <row r="1064" s="3" customFormat="1" x14ac:dyDescent="0.25"/>
    <row r="1065" s="3" customFormat="1" x14ac:dyDescent="0.25"/>
    <row r="1066" s="3" customFormat="1" x14ac:dyDescent="0.25"/>
    <row r="1067" s="3" customFormat="1" x14ac:dyDescent="0.25"/>
    <row r="1068" s="3" customFormat="1" x14ac:dyDescent="0.25"/>
    <row r="1069" s="3" customFormat="1" x14ac:dyDescent="0.25"/>
    <row r="1070" s="3" customFormat="1" x14ac:dyDescent="0.25"/>
    <row r="1071" s="3" customFormat="1" x14ac:dyDescent="0.25"/>
    <row r="1072" s="3" customFormat="1" x14ac:dyDescent="0.25"/>
    <row r="1073" s="3" customFormat="1" x14ac:dyDescent="0.25"/>
    <row r="1074" s="3" customFormat="1" x14ac:dyDescent="0.25"/>
    <row r="1075" s="3" customFormat="1" x14ac:dyDescent="0.25"/>
    <row r="1076" s="3" customFormat="1" x14ac:dyDescent="0.25"/>
    <row r="1077" s="3" customFormat="1" x14ac:dyDescent="0.25"/>
    <row r="1078" s="3" customFormat="1" x14ac:dyDescent="0.25"/>
    <row r="1079" s="3" customFormat="1" x14ac:dyDescent="0.25"/>
    <row r="1080" s="3" customFormat="1" x14ac:dyDescent="0.25"/>
    <row r="1081" s="3" customFormat="1" x14ac:dyDescent="0.25"/>
    <row r="1082" s="3" customFormat="1" x14ac:dyDescent="0.25"/>
    <row r="1083" s="3" customFormat="1" x14ac:dyDescent="0.25"/>
    <row r="1084" s="3" customFormat="1" x14ac:dyDescent="0.25"/>
    <row r="1085" s="3" customFormat="1" x14ac:dyDescent="0.25"/>
    <row r="1086" s="3" customFormat="1" x14ac:dyDescent="0.25"/>
    <row r="1087" s="3" customFormat="1" x14ac:dyDescent="0.25"/>
    <row r="1088" s="3" customFormat="1" x14ac:dyDescent="0.25"/>
    <row r="1089" s="3" customFormat="1" x14ac:dyDescent="0.25"/>
    <row r="1090" s="3" customFormat="1" x14ac:dyDescent="0.25"/>
    <row r="1091" s="3" customFormat="1" x14ac:dyDescent="0.25"/>
    <row r="1092" s="3" customFormat="1" x14ac:dyDescent="0.25"/>
    <row r="1093" s="3" customFormat="1" x14ac:dyDescent="0.25"/>
    <row r="1094" s="3" customFormat="1" x14ac:dyDescent="0.25"/>
    <row r="1095" s="3" customFormat="1" x14ac:dyDescent="0.25"/>
    <row r="1096" s="3" customFormat="1" x14ac:dyDescent="0.25"/>
    <row r="1097" s="3" customFormat="1" x14ac:dyDescent="0.25"/>
    <row r="1098" s="3" customFormat="1" x14ac:dyDescent="0.25"/>
    <row r="1099" s="3" customFormat="1" x14ac:dyDescent="0.25"/>
    <row r="1100" s="3" customFormat="1" x14ac:dyDescent="0.25"/>
    <row r="1101" s="3" customFormat="1" x14ac:dyDescent="0.25"/>
    <row r="1102" s="3" customFormat="1" x14ac:dyDescent="0.25"/>
    <row r="1103" s="3" customFormat="1" x14ac:dyDescent="0.25"/>
    <row r="1104" s="3" customFormat="1" x14ac:dyDescent="0.25"/>
    <row r="1105" s="3" customFormat="1" x14ac:dyDescent="0.25"/>
    <row r="1106" s="3" customFormat="1" x14ac:dyDescent="0.25"/>
    <row r="1107" s="3" customFormat="1" x14ac:dyDescent="0.25"/>
    <row r="1108" s="3" customFormat="1" x14ac:dyDescent="0.25"/>
    <row r="1109" s="3" customFormat="1" x14ac:dyDescent="0.25"/>
    <row r="1110" s="3" customFormat="1" x14ac:dyDescent="0.25"/>
    <row r="1111" s="3" customFormat="1" x14ac:dyDescent="0.25"/>
    <row r="1112" s="3" customFormat="1" x14ac:dyDescent="0.25"/>
    <row r="1113" s="3" customFormat="1" x14ac:dyDescent="0.25"/>
    <row r="1114" s="3" customFormat="1" x14ac:dyDescent="0.25"/>
    <row r="1115" s="3" customFormat="1" x14ac:dyDescent="0.25"/>
    <row r="1116" s="3" customFormat="1" x14ac:dyDescent="0.25"/>
    <row r="1117" s="3" customFormat="1" x14ac:dyDescent="0.25"/>
    <row r="1118" s="3" customFormat="1" x14ac:dyDescent="0.25"/>
    <row r="1119" s="3" customFormat="1" x14ac:dyDescent="0.25"/>
    <row r="1120" s="3" customFormat="1" x14ac:dyDescent="0.25"/>
    <row r="1121" s="3" customFormat="1" x14ac:dyDescent="0.25"/>
    <row r="1122" s="3" customFormat="1" x14ac:dyDescent="0.25"/>
    <row r="1123" s="3" customFormat="1" x14ac:dyDescent="0.25"/>
    <row r="1124" s="3" customFormat="1" x14ac:dyDescent="0.25"/>
    <row r="1125" s="3" customFormat="1" x14ac:dyDescent="0.25"/>
    <row r="1126" s="3" customFormat="1" x14ac:dyDescent="0.25"/>
    <row r="1127" s="3" customFormat="1" x14ac:dyDescent="0.25"/>
    <row r="1128" s="3" customFormat="1" x14ac:dyDescent="0.25"/>
    <row r="1129" s="3" customFormat="1" x14ac:dyDescent="0.25"/>
    <row r="1130" s="3" customFormat="1" x14ac:dyDescent="0.25"/>
    <row r="1131" s="3" customFormat="1" x14ac:dyDescent="0.25"/>
    <row r="1132" s="3" customFormat="1" x14ac:dyDescent="0.25"/>
    <row r="1133" s="3" customFormat="1" x14ac:dyDescent="0.25"/>
    <row r="1134" s="3" customFormat="1" x14ac:dyDescent="0.25"/>
    <row r="1135" s="3" customFormat="1" x14ac:dyDescent="0.25"/>
    <row r="1136" s="3" customFormat="1" x14ac:dyDescent="0.25"/>
    <row r="1137" s="3" customFormat="1" x14ac:dyDescent="0.25"/>
    <row r="1138" s="3" customFormat="1" x14ac:dyDescent="0.25"/>
    <row r="1139" s="3" customFormat="1" x14ac:dyDescent="0.25"/>
    <row r="1140" s="3" customFormat="1" x14ac:dyDescent="0.25"/>
    <row r="1141" s="3" customFormat="1" x14ac:dyDescent="0.25"/>
    <row r="1142" s="3" customFormat="1" x14ac:dyDescent="0.25"/>
    <row r="1143" s="3" customFormat="1" x14ac:dyDescent="0.25"/>
    <row r="1144" s="3" customFormat="1" x14ac:dyDescent="0.25"/>
    <row r="1145" s="3" customFormat="1" x14ac:dyDescent="0.25"/>
    <row r="1146" s="3" customFormat="1" x14ac:dyDescent="0.25"/>
    <row r="1147" s="3" customFormat="1" x14ac:dyDescent="0.25"/>
    <row r="1148" s="3" customFormat="1" x14ac:dyDescent="0.25"/>
    <row r="1149" s="3" customFormat="1" x14ac:dyDescent="0.25"/>
    <row r="1150" s="3" customFormat="1" x14ac:dyDescent="0.25"/>
    <row r="1151" s="3" customFormat="1" x14ac:dyDescent="0.25"/>
    <row r="1152" s="3" customFormat="1" x14ac:dyDescent="0.25"/>
    <row r="1153" s="3" customFormat="1" x14ac:dyDescent="0.25"/>
    <row r="1154" s="3" customFormat="1" x14ac:dyDescent="0.25"/>
    <row r="1155" s="3" customFormat="1" x14ac:dyDescent="0.25"/>
    <row r="1156" s="3" customFormat="1" x14ac:dyDescent="0.25"/>
    <row r="1157" s="3" customFormat="1" x14ac:dyDescent="0.25"/>
    <row r="1158" s="3" customFormat="1" x14ac:dyDescent="0.25"/>
    <row r="1159" s="3" customFormat="1" x14ac:dyDescent="0.25"/>
    <row r="1160" s="3" customFormat="1" x14ac:dyDescent="0.25"/>
    <row r="1161" s="3" customFormat="1" x14ac:dyDescent="0.25"/>
    <row r="1162" s="3" customFormat="1" x14ac:dyDescent="0.25"/>
    <row r="1163" s="3" customFormat="1" x14ac:dyDescent="0.25"/>
    <row r="1164" s="3" customFormat="1" x14ac:dyDescent="0.25"/>
    <row r="1165" s="3" customFormat="1" x14ac:dyDescent="0.25"/>
    <row r="1166" s="3" customFormat="1" x14ac:dyDescent="0.25"/>
    <row r="1167" s="3" customFormat="1" x14ac:dyDescent="0.25"/>
    <row r="1168" s="3" customFormat="1" x14ac:dyDescent="0.25"/>
    <row r="1169" s="3" customFormat="1" x14ac:dyDescent="0.25"/>
    <row r="1170" s="3" customFormat="1" x14ac:dyDescent="0.25"/>
    <row r="1171" s="3" customFormat="1" x14ac:dyDescent="0.25"/>
    <row r="1172" s="3" customFormat="1" x14ac:dyDescent="0.25"/>
    <row r="1173" s="3" customFormat="1" x14ac:dyDescent="0.25"/>
    <row r="1174" s="3" customFormat="1" x14ac:dyDescent="0.25"/>
    <row r="1175" s="3" customFormat="1" x14ac:dyDescent="0.25"/>
    <row r="1176" s="3" customFormat="1" x14ac:dyDescent="0.25"/>
    <row r="1177" s="3" customFormat="1" x14ac:dyDescent="0.25"/>
    <row r="1178" s="3" customFormat="1" x14ac:dyDescent="0.25"/>
    <row r="1179" s="3" customFormat="1" x14ac:dyDescent="0.25"/>
    <row r="1180" s="3" customFormat="1" x14ac:dyDescent="0.25"/>
    <row r="1181" s="3" customFormat="1" x14ac:dyDescent="0.25"/>
    <row r="1182" s="3" customFormat="1" x14ac:dyDescent="0.25"/>
    <row r="1183" s="3" customFormat="1" x14ac:dyDescent="0.25"/>
    <row r="1184" s="3" customFormat="1" x14ac:dyDescent="0.25"/>
    <row r="1185" s="3" customFormat="1" x14ac:dyDescent="0.25"/>
    <row r="1186" s="3" customFormat="1" x14ac:dyDescent="0.25"/>
    <row r="1187" s="3" customFormat="1" x14ac:dyDescent="0.25"/>
    <row r="1188" s="3" customFormat="1" x14ac:dyDescent="0.25"/>
    <row r="1189" s="3" customFormat="1" x14ac:dyDescent="0.25"/>
    <row r="1190" s="3" customFormat="1" x14ac:dyDescent="0.25"/>
    <row r="1191" s="3" customFormat="1" x14ac:dyDescent="0.25"/>
    <row r="1192" s="3" customFormat="1" x14ac:dyDescent="0.25"/>
    <row r="1193" s="3" customFormat="1" x14ac:dyDescent="0.25"/>
    <row r="1194" s="3" customFormat="1" x14ac:dyDescent="0.25"/>
    <row r="1195" s="3" customFormat="1" x14ac:dyDescent="0.25"/>
    <row r="1196" s="3" customFormat="1" x14ac:dyDescent="0.25"/>
    <row r="1197" s="3" customFormat="1" x14ac:dyDescent="0.25"/>
    <row r="1198" s="3" customFormat="1" x14ac:dyDescent="0.25"/>
    <row r="1199" s="3" customFormat="1" x14ac:dyDescent="0.25"/>
    <row r="1200" s="3" customFormat="1" x14ac:dyDescent="0.25"/>
    <row r="1201" s="3" customFormat="1" x14ac:dyDescent="0.25"/>
    <row r="1202" s="3" customFormat="1" x14ac:dyDescent="0.25"/>
    <row r="1203" s="3" customFormat="1" x14ac:dyDescent="0.25"/>
    <row r="1204" s="3" customFormat="1" x14ac:dyDescent="0.25"/>
    <row r="1205" s="3" customFormat="1" x14ac:dyDescent="0.25"/>
    <row r="1206" s="3" customFormat="1" x14ac:dyDescent="0.25"/>
    <row r="1207" s="3" customFormat="1" x14ac:dyDescent="0.25"/>
    <row r="1208" s="3" customFormat="1" x14ac:dyDescent="0.25"/>
    <row r="1209" s="3" customFormat="1" x14ac:dyDescent="0.25"/>
    <row r="1210" s="3" customFormat="1" x14ac:dyDescent="0.25"/>
    <row r="1211" s="3" customFormat="1" x14ac:dyDescent="0.25"/>
    <row r="1212" s="3" customFormat="1" x14ac:dyDescent="0.25"/>
    <row r="1213" s="3" customFormat="1" x14ac:dyDescent="0.25"/>
    <row r="1214" s="3" customFormat="1" x14ac:dyDescent="0.25"/>
    <row r="1215" s="3" customFormat="1" x14ac:dyDescent="0.25"/>
    <row r="1216" s="3" customFormat="1" x14ac:dyDescent="0.25"/>
    <row r="1217" s="3" customFormat="1" x14ac:dyDescent="0.25"/>
    <row r="1218" s="3" customFormat="1" x14ac:dyDescent="0.25"/>
    <row r="1219" s="3" customFormat="1" x14ac:dyDescent="0.25"/>
    <row r="1220" s="3" customFormat="1" x14ac:dyDescent="0.25"/>
    <row r="1221" s="3" customFormat="1" x14ac:dyDescent="0.25"/>
    <row r="1222" s="3" customFormat="1" x14ac:dyDescent="0.25"/>
    <row r="1223" s="3" customFormat="1" x14ac:dyDescent="0.25"/>
    <row r="1224" s="3" customFormat="1" x14ac:dyDescent="0.25"/>
    <row r="1225" s="3" customFormat="1" x14ac:dyDescent="0.25"/>
    <row r="1226" s="3" customFormat="1" x14ac:dyDescent="0.25"/>
    <row r="1227" s="3" customFormat="1" x14ac:dyDescent="0.25"/>
    <row r="1228" s="3" customFormat="1" x14ac:dyDescent="0.25"/>
    <row r="1229" s="3" customFormat="1" x14ac:dyDescent="0.25"/>
    <row r="1230" s="3" customFormat="1" x14ac:dyDescent="0.25"/>
    <row r="1231" s="3" customFormat="1" x14ac:dyDescent="0.25"/>
    <row r="1232" s="3" customFormat="1" x14ac:dyDescent="0.25"/>
    <row r="1233" s="3" customFormat="1" x14ac:dyDescent="0.25"/>
    <row r="1234" s="3" customFormat="1" x14ac:dyDescent="0.25"/>
    <row r="1235" s="3" customFormat="1" x14ac:dyDescent="0.25"/>
    <row r="1236" s="3" customFormat="1" x14ac:dyDescent="0.25"/>
    <row r="1237" s="3" customFormat="1" x14ac:dyDescent="0.25"/>
    <row r="1238" s="3" customFormat="1" x14ac:dyDescent="0.25"/>
    <row r="1239" s="3" customFormat="1" x14ac:dyDescent="0.25"/>
    <row r="1240" s="3" customFormat="1" x14ac:dyDescent="0.25"/>
    <row r="1241" s="3" customFormat="1" x14ac:dyDescent="0.25"/>
    <row r="1242" s="3" customFormat="1" x14ac:dyDescent="0.25"/>
    <row r="1243" s="3" customFormat="1" x14ac:dyDescent="0.25"/>
    <row r="1244" s="3" customFormat="1" x14ac:dyDescent="0.25"/>
    <row r="1245" s="3" customFormat="1" x14ac:dyDescent="0.25"/>
    <row r="1246" s="3" customFormat="1" x14ac:dyDescent="0.25"/>
    <row r="1247" s="3" customFormat="1" x14ac:dyDescent="0.25"/>
    <row r="1248" s="3" customFormat="1" x14ac:dyDescent="0.25"/>
    <row r="1249" s="3" customFormat="1" x14ac:dyDescent="0.25"/>
    <row r="1250" s="3" customFormat="1" x14ac:dyDescent="0.25"/>
    <row r="1251" s="3" customFormat="1" x14ac:dyDescent="0.25"/>
    <row r="1252" s="3" customFormat="1" x14ac:dyDescent="0.25"/>
    <row r="1253" s="3" customFormat="1" x14ac:dyDescent="0.25"/>
    <row r="1254" s="3" customFormat="1" x14ac:dyDescent="0.25"/>
    <row r="1255" s="3" customFormat="1" x14ac:dyDescent="0.25"/>
    <row r="1256" s="3" customFormat="1" x14ac:dyDescent="0.25"/>
    <row r="1257" s="3" customFormat="1" x14ac:dyDescent="0.25"/>
    <row r="1258" s="3" customFormat="1" x14ac:dyDescent="0.25"/>
    <row r="1259" s="3" customFormat="1" x14ac:dyDescent="0.25"/>
    <row r="1260" s="3" customFormat="1" x14ac:dyDescent="0.25"/>
    <row r="1261" s="3" customFormat="1" x14ac:dyDescent="0.25"/>
    <row r="1262" s="3" customFormat="1" x14ac:dyDescent="0.25"/>
    <row r="1263" s="3" customFormat="1" x14ac:dyDescent="0.25"/>
    <row r="1264" s="3" customFormat="1" x14ac:dyDescent="0.25"/>
    <row r="1265" s="3" customFormat="1" x14ac:dyDescent="0.25"/>
    <row r="1266" s="3" customFormat="1" x14ac:dyDescent="0.25"/>
    <row r="1267" s="3" customFormat="1" x14ac:dyDescent="0.25"/>
    <row r="1268" s="3" customFormat="1" x14ac:dyDescent="0.25"/>
    <row r="1269" s="3" customFormat="1" x14ac:dyDescent="0.25"/>
    <row r="1270" s="3" customFormat="1" x14ac:dyDescent="0.25"/>
    <row r="1271" s="3" customFormat="1" x14ac:dyDescent="0.25"/>
    <row r="1272" s="3" customFormat="1" x14ac:dyDescent="0.25"/>
    <row r="1273" s="3" customFormat="1" x14ac:dyDescent="0.25"/>
    <row r="1274" s="3" customFormat="1" x14ac:dyDescent="0.25"/>
    <row r="1275" s="3" customFormat="1" x14ac:dyDescent="0.25"/>
    <row r="1276" s="3" customFormat="1" x14ac:dyDescent="0.25"/>
    <row r="1277" s="3" customFormat="1" x14ac:dyDescent="0.25"/>
    <row r="1278" s="3" customFormat="1" x14ac:dyDescent="0.25"/>
    <row r="1279" s="3" customFormat="1" x14ac:dyDescent="0.25"/>
    <row r="1280" s="3" customFormat="1" x14ac:dyDescent="0.25"/>
    <row r="1281" s="3" customFormat="1" x14ac:dyDescent="0.25"/>
    <row r="1282" s="3" customFormat="1" x14ac:dyDescent="0.25"/>
    <row r="1283" s="3" customFormat="1" x14ac:dyDescent="0.25"/>
    <row r="1284" s="3" customFormat="1" x14ac:dyDescent="0.25"/>
    <row r="1285" s="3" customFormat="1" x14ac:dyDescent="0.25"/>
    <row r="1286" s="3" customFormat="1" x14ac:dyDescent="0.25"/>
    <row r="1287" s="3" customFormat="1" x14ac:dyDescent="0.25"/>
    <row r="1288" s="3" customFormat="1" x14ac:dyDescent="0.25"/>
    <row r="1289" s="3" customFormat="1" x14ac:dyDescent="0.25"/>
    <row r="1290" s="3" customFormat="1" x14ac:dyDescent="0.25"/>
    <row r="1291" s="3" customFormat="1" x14ac:dyDescent="0.25"/>
    <row r="1292" s="3" customFormat="1" x14ac:dyDescent="0.25"/>
    <row r="1293" s="3" customFormat="1" x14ac:dyDescent="0.25"/>
    <row r="1294" s="3" customFormat="1" x14ac:dyDescent="0.25"/>
    <row r="1295" s="3" customFormat="1" x14ac:dyDescent="0.25"/>
    <row r="1296" s="3" customFormat="1" x14ac:dyDescent="0.25"/>
    <row r="1297" s="3" customFormat="1" x14ac:dyDescent="0.25"/>
    <row r="1298" s="3" customFormat="1" x14ac:dyDescent="0.25"/>
    <row r="1299" s="3" customFormat="1" x14ac:dyDescent="0.25"/>
    <row r="1300" s="3" customFormat="1" x14ac:dyDescent="0.25"/>
    <row r="1301" s="3" customFormat="1" x14ac:dyDescent="0.25"/>
    <row r="1302" s="3" customFormat="1" x14ac:dyDescent="0.25"/>
    <row r="1303" s="3" customFormat="1" x14ac:dyDescent="0.25"/>
    <row r="1304" s="3" customFormat="1" x14ac:dyDescent="0.25"/>
    <row r="1305" s="3" customFormat="1" x14ac:dyDescent="0.25"/>
    <row r="1306" s="3" customFormat="1" x14ac:dyDescent="0.25"/>
    <row r="1307" s="3" customFormat="1" x14ac:dyDescent="0.25"/>
    <row r="1308" s="3" customFormat="1" x14ac:dyDescent="0.25"/>
    <row r="1309" s="3" customFormat="1" x14ac:dyDescent="0.25"/>
    <row r="1310" s="3" customFormat="1" x14ac:dyDescent="0.25"/>
    <row r="1311" s="3" customFormat="1" x14ac:dyDescent="0.25"/>
    <row r="1312" s="3" customFormat="1" x14ac:dyDescent="0.25"/>
    <row r="1313" s="3" customFormat="1" x14ac:dyDescent="0.25"/>
    <row r="1314" s="3" customFormat="1" x14ac:dyDescent="0.25"/>
    <row r="1315" s="3" customFormat="1" x14ac:dyDescent="0.25"/>
    <row r="1316" s="3" customFormat="1" x14ac:dyDescent="0.25"/>
    <row r="1317" s="3" customFormat="1" x14ac:dyDescent="0.25"/>
    <row r="1318" s="3" customFormat="1" x14ac:dyDescent="0.25"/>
    <row r="1319" s="3" customFormat="1" x14ac:dyDescent="0.25"/>
    <row r="1320" s="3" customFormat="1" x14ac:dyDescent="0.25"/>
    <row r="1321" s="3" customFormat="1" x14ac:dyDescent="0.25"/>
    <row r="1322" s="3" customFormat="1" x14ac:dyDescent="0.25"/>
    <row r="1323" s="3" customFormat="1" x14ac:dyDescent="0.25"/>
    <row r="1324" s="3" customFormat="1" x14ac:dyDescent="0.25"/>
    <row r="1325" s="3" customFormat="1" x14ac:dyDescent="0.25"/>
    <row r="1326" s="3" customFormat="1" x14ac:dyDescent="0.25"/>
    <row r="1327" s="3" customFormat="1" x14ac:dyDescent="0.25"/>
    <row r="1328" s="3" customFormat="1" x14ac:dyDescent="0.25"/>
    <row r="1329" s="3" customFormat="1" x14ac:dyDescent="0.25"/>
    <row r="1330" s="3" customFormat="1" x14ac:dyDescent="0.25"/>
    <row r="1331" s="3" customFormat="1" x14ac:dyDescent="0.25"/>
    <row r="1332" s="3" customFormat="1" x14ac:dyDescent="0.25"/>
    <row r="1333" s="3" customFormat="1" x14ac:dyDescent="0.25"/>
    <row r="1334" s="3" customFormat="1" x14ac:dyDescent="0.25"/>
    <row r="1335" s="3" customFormat="1" x14ac:dyDescent="0.25"/>
    <row r="1336" s="3" customFormat="1" x14ac:dyDescent="0.25"/>
    <row r="1337" s="3" customFormat="1" x14ac:dyDescent="0.25"/>
    <row r="1338" s="3" customFormat="1" x14ac:dyDescent="0.25"/>
    <row r="1339" s="3" customFormat="1" x14ac:dyDescent="0.25"/>
    <row r="1340" s="3" customFormat="1" x14ac:dyDescent="0.25"/>
    <row r="1341" s="3" customFormat="1" x14ac:dyDescent="0.25"/>
    <row r="1342" s="3" customFormat="1" x14ac:dyDescent="0.25"/>
    <row r="1343" s="3" customFormat="1" x14ac:dyDescent="0.25"/>
    <row r="1344" s="3" customFormat="1" x14ac:dyDescent="0.25"/>
    <row r="1345" s="3" customFormat="1" x14ac:dyDescent="0.25"/>
    <row r="1346" s="3" customFormat="1" x14ac:dyDescent="0.25"/>
    <row r="1347" s="3" customFormat="1" x14ac:dyDescent="0.25"/>
    <row r="1348" s="3" customFormat="1" x14ac:dyDescent="0.25"/>
    <row r="1349" s="3" customFormat="1" x14ac:dyDescent="0.25"/>
    <row r="1350" s="3" customFormat="1" x14ac:dyDescent="0.25"/>
    <row r="1351" s="3" customFormat="1" x14ac:dyDescent="0.25"/>
    <row r="1352" s="3" customFormat="1" x14ac:dyDescent="0.25"/>
    <row r="1353" s="3" customFormat="1" x14ac:dyDescent="0.25"/>
    <row r="1354" s="3" customFormat="1" x14ac:dyDescent="0.25"/>
    <row r="1355" s="3" customFormat="1" x14ac:dyDescent="0.25"/>
    <row r="1356" s="3" customFormat="1" x14ac:dyDescent="0.25"/>
    <row r="1357" s="3" customFormat="1" x14ac:dyDescent="0.25"/>
    <row r="1358" s="3" customFormat="1" x14ac:dyDescent="0.25"/>
    <row r="1359" s="3" customFormat="1" x14ac:dyDescent="0.25"/>
    <row r="1360" s="3" customFormat="1" x14ac:dyDescent="0.25"/>
    <row r="1361" s="3" customFormat="1" x14ac:dyDescent="0.25"/>
    <row r="1362" s="3" customFormat="1" x14ac:dyDescent="0.25"/>
    <row r="1363" s="3" customFormat="1" x14ac:dyDescent="0.25"/>
    <row r="1364" s="3" customFormat="1" x14ac:dyDescent="0.25"/>
    <row r="1365" s="3" customFormat="1" x14ac:dyDescent="0.25"/>
    <row r="1366" s="3" customFormat="1" x14ac:dyDescent="0.25"/>
    <row r="1367" s="3" customFormat="1" x14ac:dyDescent="0.25"/>
    <row r="1368" s="3" customFormat="1" x14ac:dyDescent="0.25"/>
    <row r="1369" s="3" customFormat="1" x14ac:dyDescent="0.25"/>
    <row r="1370" s="3" customFormat="1" x14ac:dyDescent="0.25"/>
    <row r="1371" s="3" customFormat="1" x14ac:dyDescent="0.25"/>
    <row r="1372" s="3" customFormat="1" x14ac:dyDescent="0.25"/>
    <row r="1373" s="3" customFormat="1" x14ac:dyDescent="0.25"/>
    <row r="1374" s="3" customFormat="1" x14ac:dyDescent="0.25"/>
    <row r="1375" s="3" customFormat="1" x14ac:dyDescent="0.25"/>
    <row r="1376" s="3" customFormat="1" x14ac:dyDescent="0.25"/>
    <row r="1377" s="3" customFormat="1" x14ac:dyDescent="0.25"/>
    <row r="1378" s="3" customFormat="1" x14ac:dyDescent="0.25"/>
    <row r="1379" s="3" customFormat="1" x14ac:dyDescent="0.25"/>
    <row r="1380" s="3" customFormat="1" x14ac:dyDescent="0.25"/>
    <row r="1381" s="3" customFormat="1" x14ac:dyDescent="0.25"/>
    <row r="1382" s="3" customFormat="1" x14ac:dyDescent="0.25"/>
    <row r="1383" s="3" customFormat="1" x14ac:dyDescent="0.25"/>
    <row r="1384" s="3" customFormat="1" x14ac:dyDescent="0.25"/>
    <row r="1385" s="3" customFormat="1" x14ac:dyDescent="0.25"/>
    <row r="1386" s="3" customFormat="1" x14ac:dyDescent="0.25"/>
    <row r="1387" s="3" customFormat="1" x14ac:dyDescent="0.25"/>
    <row r="1388" s="3" customFormat="1" x14ac:dyDescent="0.25"/>
    <row r="1389" s="3" customFormat="1" x14ac:dyDescent="0.25"/>
    <row r="1390" s="3" customFormat="1" x14ac:dyDescent="0.25"/>
    <row r="1391" s="3" customFormat="1" x14ac:dyDescent="0.25"/>
    <row r="1392" s="3" customFormat="1" x14ac:dyDescent="0.25"/>
    <row r="1393" s="3" customFormat="1" x14ac:dyDescent="0.25"/>
    <row r="1394" s="3" customFormat="1" x14ac:dyDescent="0.25"/>
    <row r="1395" s="3" customFormat="1" x14ac:dyDescent="0.25"/>
    <row r="1396" s="3" customFormat="1" x14ac:dyDescent="0.25"/>
    <row r="1397" s="3" customFormat="1" x14ac:dyDescent="0.25"/>
    <row r="1398" s="3" customFormat="1" x14ac:dyDescent="0.25"/>
    <row r="1399" s="3" customFormat="1" x14ac:dyDescent="0.25"/>
    <row r="1400" s="3" customFormat="1" x14ac:dyDescent="0.25"/>
    <row r="1401" s="3" customFormat="1" x14ac:dyDescent="0.25"/>
    <row r="1402" s="3" customFormat="1" x14ac:dyDescent="0.25"/>
    <row r="1403" s="3" customFormat="1" x14ac:dyDescent="0.25"/>
    <row r="1404" s="3" customFormat="1" x14ac:dyDescent="0.25"/>
    <row r="1405" s="3" customFormat="1" x14ac:dyDescent="0.25"/>
    <row r="1406" s="3" customFormat="1" x14ac:dyDescent="0.25"/>
    <row r="1407" s="3" customFormat="1" x14ac:dyDescent="0.25"/>
    <row r="1408" s="3" customFormat="1" x14ac:dyDescent="0.25"/>
    <row r="1409" s="3" customFormat="1" x14ac:dyDescent="0.25"/>
    <row r="1410" s="3" customFormat="1" x14ac:dyDescent="0.25"/>
    <row r="1411" s="3" customFormat="1" x14ac:dyDescent="0.25"/>
    <row r="1412" s="3" customFormat="1" x14ac:dyDescent="0.25"/>
  </sheetData>
  <sheetProtection formatCells="0" formatColumns="0" formatRows="0" insertColumns="0" insertRows="0" insertHyperlinks="0" deleteColumns="0" deleteRows="0" sort="0" autoFilter="0" pivotTables="0"/>
  <protectedRanges>
    <protectedRange sqref="D3 G3 B5:P5 D14 G14 P14 B16 Y3 AB3 B23:P23 B29:U74 B27 W5:AK5" name="Editable"/>
  </protectedRanges>
  <mergeCells count="136">
    <mergeCell ref="Q74:U74"/>
    <mergeCell ref="B74:P74"/>
    <mergeCell ref="H26:J26"/>
    <mergeCell ref="H27:J27"/>
    <mergeCell ref="K26:P26"/>
    <mergeCell ref="K27:P27"/>
    <mergeCell ref="B71:P71"/>
    <mergeCell ref="B72:P72"/>
    <mergeCell ref="B73:P73"/>
    <mergeCell ref="B37:P37"/>
    <mergeCell ref="B38:P38"/>
    <mergeCell ref="B39:P39"/>
    <mergeCell ref="B40:P40"/>
    <mergeCell ref="B41:P41"/>
    <mergeCell ref="B66:P66"/>
    <mergeCell ref="B67:P67"/>
    <mergeCell ref="B68:P68"/>
    <mergeCell ref="B69:P69"/>
    <mergeCell ref="B70:P70"/>
    <mergeCell ref="B61:P61"/>
    <mergeCell ref="B62:P62"/>
    <mergeCell ref="B63:P63"/>
    <mergeCell ref="B64:P64"/>
    <mergeCell ref="B65:P65"/>
    <mergeCell ref="W2:AK2"/>
    <mergeCell ref="W3:X3"/>
    <mergeCell ref="Z3:AA3"/>
    <mergeCell ref="AC3:AE3"/>
    <mergeCell ref="AF3:AK3"/>
    <mergeCell ref="W4:AK4"/>
    <mergeCell ref="W6:AK6"/>
    <mergeCell ref="W7:AK7"/>
    <mergeCell ref="W8:AB8"/>
    <mergeCell ref="AC8:AK8"/>
    <mergeCell ref="W9:AB9"/>
    <mergeCell ref="AC9:AK9"/>
    <mergeCell ref="B30:P30"/>
    <mergeCell ref="B31:P31"/>
    <mergeCell ref="B32:P32"/>
    <mergeCell ref="B33:P33"/>
    <mergeCell ref="B34:P34"/>
    <mergeCell ref="B35:P35"/>
    <mergeCell ref="B36:P36"/>
    <mergeCell ref="Q30:U30"/>
    <mergeCell ref="Q31:U31"/>
    <mergeCell ref="Q32:U32"/>
    <mergeCell ref="Q33:U33"/>
    <mergeCell ref="Q34:U34"/>
    <mergeCell ref="B28:P28"/>
    <mergeCell ref="B29:P29"/>
    <mergeCell ref="Q28:U28"/>
    <mergeCell ref="Q29:U29"/>
    <mergeCell ref="B27:G27"/>
    <mergeCell ref="B24:P24"/>
    <mergeCell ref="B25:P25"/>
    <mergeCell ref="B22:P22"/>
    <mergeCell ref="B26:G26"/>
    <mergeCell ref="B56:P56"/>
    <mergeCell ref="B57:P57"/>
    <mergeCell ref="B58:P58"/>
    <mergeCell ref="B59:P59"/>
    <mergeCell ref="B60:P60"/>
    <mergeCell ref="B51:P51"/>
    <mergeCell ref="B52:P52"/>
    <mergeCell ref="B53:P53"/>
    <mergeCell ref="B54:P54"/>
    <mergeCell ref="B55:P55"/>
    <mergeCell ref="B42:P42"/>
    <mergeCell ref="B43:P43"/>
    <mergeCell ref="B44:P44"/>
    <mergeCell ref="B45:P45"/>
    <mergeCell ref="B46:P46"/>
    <mergeCell ref="B47:P47"/>
    <mergeCell ref="B48:P48"/>
    <mergeCell ref="B49:P49"/>
    <mergeCell ref="B50:P50"/>
    <mergeCell ref="Q70:U70"/>
    <mergeCell ref="Q71:U71"/>
    <mergeCell ref="Q72:U72"/>
    <mergeCell ref="Q73:U73"/>
    <mergeCell ref="Q65:U65"/>
    <mergeCell ref="Q66:U66"/>
    <mergeCell ref="Q67:U67"/>
    <mergeCell ref="Q68:U68"/>
    <mergeCell ref="Q69:U69"/>
    <mergeCell ref="Q60:U60"/>
    <mergeCell ref="Q61:U61"/>
    <mergeCell ref="Q62:U62"/>
    <mergeCell ref="Q63:U63"/>
    <mergeCell ref="Q64:U64"/>
    <mergeCell ref="Q55:U55"/>
    <mergeCell ref="Q56:U56"/>
    <mergeCell ref="Q57:U57"/>
    <mergeCell ref="Q58:U58"/>
    <mergeCell ref="Q59:U59"/>
    <mergeCell ref="Q50:U50"/>
    <mergeCell ref="Q51:U51"/>
    <mergeCell ref="Q52:U52"/>
    <mergeCell ref="Q53:U53"/>
    <mergeCell ref="Q54:U54"/>
    <mergeCell ref="Q45:U45"/>
    <mergeCell ref="Q46:U46"/>
    <mergeCell ref="Q47:U47"/>
    <mergeCell ref="Q48:U48"/>
    <mergeCell ref="Q49:U49"/>
    <mergeCell ref="Q40:U40"/>
    <mergeCell ref="Q41:U41"/>
    <mergeCell ref="Q42:U42"/>
    <mergeCell ref="Q43:U43"/>
    <mergeCell ref="Q44:U44"/>
    <mergeCell ref="Q35:U35"/>
    <mergeCell ref="Q36:U36"/>
    <mergeCell ref="Q37:U37"/>
    <mergeCell ref="Q38:U38"/>
    <mergeCell ref="Q39:U39"/>
    <mergeCell ref="B2:P2"/>
    <mergeCell ref="B6:P6"/>
    <mergeCell ref="H3:J3"/>
    <mergeCell ref="B7:P7"/>
    <mergeCell ref="K3:P3"/>
    <mergeCell ref="B3:C3"/>
    <mergeCell ref="E3:F3"/>
    <mergeCell ref="B4:P4"/>
    <mergeCell ref="B17:P17"/>
    <mergeCell ref="B8:G8"/>
    <mergeCell ref="B9:G9"/>
    <mergeCell ref="H14:O14"/>
    <mergeCell ref="H8:P8"/>
    <mergeCell ref="H9:P9"/>
    <mergeCell ref="B14:C14"/>
    <mergeCell ref="E14:F14"/>
    <mergeCell ref="H16:P16"/>
    <mergeCell ref="H15:P15"/>
    <mergeCell ref="B13:P13"/>
    <mergeCell ref="B16:G16"/>
    <mergeCell ref="B15:G15"/>
  </mergeCells>
  <conditionalFormatting sqref="P14">
    <cfRule type="expression" dxfId="0" priority="3">
      <formula>$D$14+$G$14&gt;$P$14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0" r:id="rId3" name="btn_find_parsing_rules">
          <controlPr defaultSize="0" autoLine="0" r:id="rId4">
            <anchor moveWithCells="1">
              <from>
                <xdr:col>16</xdr:col>
                <xdr:colOff>28575</xdr:colOff>
                <xdr:row>21</xdr:row>
                <xdr:rowOff>0</xdr:rowOff>
              </from>
              <to>
                <xdr:col>16</xdr:col>
                <xdr:colOff>723900</xdr:colOff>
                <xdr:row>27</xdr:row>
                <xdr:rowOff>9525</xdr:rowOff>
              </to>
            </anchor>
          </controlPr>
        </control>
      </mc:Choice>
      <mc:Fallback>
        <control shapeId="1030" r:id="rId3" name="btn_find_parsing_rules"/>
      </mc:Fallback>
    </mc:AlternateContent>
    <mc:AlternateContent xmlns:mc="http://schemas.openxmlformats.org/markup-compatibility/2006">
      <mc:Choice Requires="x14">
        <control shapeId="1029" r:id="rId5" name="btn_send_decimal">
          <controlPr defaultSize="0" autoLine="0" autoPict="0" r:id="rId6">
            <anchor moveWithCells="1">
              <from>
                <xdr:col>16</xdr:col>
                <xdr:colOff>28575</xdr:colOff>
                <xdr:row>1</xdr:row>
                <xdr:rowOff>9525</xdr:rowOff>
              </from>
              <to>
                <xdr:col>16</xdr:col>
                <xdr:colOff>723900</xdr:colOff>
                <xdr:row>9</xdr:row>
                <xdr:rowOff>9525</xdr:rowOff>
              </to>
            </anchor>
          </controlPr>
        </control>
      </mc:Choice>
      <mc:Fallback>
        <control shapeId="1029" r:id="rId5" name="btn_send_decimal"/>
      </mc:Fallback>
    </mc:AlternateContent>
    <mc:AlternateContent xmlns:mc="http://schemas.openxmlformats.org/markup-compatibility/2006">
      <mc:Choice Requires="x14">
        <control shapeId="1028" r:id="rId7" name="btn_send_binary">
          <controlPr defaultSize="0" autoLine="0" r:id="rId8">
            <anchor moveWithCells="1">
              <from>
                <xdr:col>16</xdr:col>
                <xdr:colOff>28575</xdr:colOff>
                <xdr:row>12</xdr:row>
                <xdr:rowOff>9525</xdr:rowOff>
              </from>
              <to>
                <xdr:col>16</xdr:col>
                <xdr:colOff>723900</xdr:colOff>
                <xdr:row>18</xdr:row>
                <xdr:rowOff>19050</xdr:rowOff>
              </to>
            </anchor>
          </controlPr>
        </control>
      </mc:Choice>
      <mc:Fallback>
        <control shapeId="1028" r:id="rId7" name="btn_send_binary"/>
      </mc:Fallback>
    </mc:AlternateContent>
    <mc:AlternateContent xmlns:mc="http://schemas.openxmlformats.org/markup-compatibility/2006">
      <mc:Choice Requires="x14">
        <control shapeId="1027" r:id="rId9" name="TextBox1">
          <controlPr defaultSize="0" autoLine="0" r:id="rId10">
            <anchor>
              <from>
                <xdr:col>16</xdr:col>
                <xdr:colOff>762000</xdr:colOff>
                <xdr:row>1</xdr:row>
                <xdr:rowOff>9525</xdr:rowOff>
              </from>
              <to>
                <xdr:col>21</xdr:col>
                <xdr:colOff>466725</xdr:colOff>
                <xdr:row>26</xdr:row>
                <xdr:rowOff>161925</xdr:rowOff>
              </to>
            </anchor>
          </controlPr>
        </control>
      </mc:Choice>
      <mc:Fallback>
        <control shapeId="1027" r:id="rId9" name="TextBox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FC2AF6D0AC00438C7AFB8DEE593FEA" ma:contentTypeVersion="15" ma:contentTypeDescription="Create a new document." ma:contentTypeScope="" ma:versionID="1bdf33de78ec10222ff56c818cf0a772">
  <xsd:schema xmlns:xsd="http://www.w3.org/2001/XMLSchema" xmlns:xs="http://www.w3.org/2001/XMLSchema" xmlns:p="http://schemas.microsoft.com/office/2006/metadata/properties" xmlns:ns3="20a845af-3b78-4a47-af63-4ccea53f14dc" xmlns:ns4="c04f17c2-070e-4b80-9d7c-d9271a670c4f" targetNamespace="http://schemas.microsoft.com/office/2006/metadata/properties" ma:root="true" ma:fieldsID="7decc01902e66335164129a920e10909" ns3:_="" ns4:_="">
    <xsd:import namespace="20a845af-3b78-4a47-af63-4ccea53f14dc"/>
    <xsd:import namespace="c04f17c2-070e-4b80-9d7c-d9271a670c4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3:MediaServiceDateTaken" minOccurs="0"/>
                <xsd:element ref="ns3:MediaServiceAutoTags" minOccurs="0"/>
                <xsd:element ref="ns3:MediaLengthInSecond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0a845af-3b78-4a47-af63-4ccea53f14d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4f17c2-070e-4b80-9d7c-d9271a670c4f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0a845af-3b78-4a47-af63-4ccea53f14dc" xsi:nil="true"/>
  </documentManagement>
</p:properties>
</file>

<file path=customXml/itemProps1.xml><?xml version="1.0" encoding="utf-8"?>
<ds:datastoreItem xmlns:ds="http://schemas.openxmlformats.org/officeDocument/2006/customXml" ds:itemID="{C242BC3E-D490-4872-A2DA-FD8D42224E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0a845af-3b78-4a47-af63-4ccea53f14dc"/>
    <ds:schemaRef ds:uri="c04f17c2-070e-4b80-9d7c-d9271a670c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23200F5-3700-45FA-B20C-484764FAAEF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190C5D0-D9EA-42D2-BDB7-4C9B4270F514}">
  <ds:schemaRefs>
    <ds:schemaRef ds:uri="c04f17c2-070e-4b80-9d7c-d9271a670c4f"/>
    <ds:schemaRef ds:uri="http://schemas.microsoft.com/office/2006/metadata/properties"/>
    <ds:schemaRef ds:uri="http://www.w3.org/XML/1998/namespace"/>
    <ds:schemaRef ds:uri="http://purl.org/dc/terms/"/>
    <ds:schemaRef ds:uri="20a845af-3b78-4a47-af63-4ccea53f14dc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Editable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Hall</dc:creator>
  <cp:lastModifiedBy>Jason Hall</cp:lastModifiedBy>
  <dcterms:created xsi:type="dcterms:W3CDTF">2023-08-22T16:36:18Z</dcterms:created>
  <dcterms:modified xsi:type="dcterms:W3CDTF">2024-10-29T21:41:22Z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0x010100BCFC2AF6D0AC00438C7AFB8DEE593FEA</vt:lpwstr>
  </property>
</Properties>
</file>