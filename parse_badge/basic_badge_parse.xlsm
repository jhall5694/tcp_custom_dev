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parse_badge/"/>
    </mc:Choice>
  </mc:AlternateContent>
  <xr:revisionPtr revIDLastSave="45" documentId="8_{B11BF07A-2FA0-460C-A15C-A09818A19E38}" xr6:coauthVersionLast="47" xr6:coauthVersionMax="47" xr10:uidLastSave="{2760815C-B902-4E74-9DBE-1B2C6047802A}"/>
  <workbookProtection workbookAlgorithmName="SHA-512" workbookHashValue="LyTBCq+C8f8yJKI5Wq9dOPTyc7d6xmkI5l3xJYLQv7I0omkNfkVNviFy6I2TEoR7mFeNQ2xWMYczi/zIcgtPiQ==" workbookSaltValue="nqcj6M6YGgYQ74aHKV5GfA==" workbookSpinCount="100000" lockStructure="1"/>
  <bookViews>
    <workbookView xWindow="-28920" yWindow="-120" windowWidth="29040" windowHeight="15720" xr2:uid="{E3581192-025C-4AE3-8C65-4C011E03807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C26" i="1" a="1"/>
  <c r="C12" i="1" a="1"/>
  <c r="C20" i="1" a="1"/>
  <c r="C15" i="1" a="1"/>
  <c r="C14" i="1" a="1"/>
  <c r="C13" i="1" a="1"/>
  <c r="C21" i="1" a="1"/>
  <c r="C7" i="1" a="1"/>
  <c r="C18" i="1" a="1"/>
  <c r="C30" i="1" a="1"/>
  <c r="C16" i="1" a="1"/>
  <c r="C29" i="1" a="1"/>
  <c r="C10" i="1" a="1"/>
  <c r="C9" i="1" a="1"/>
  <c r="C8" i="1" a="1"/>
  <c r="C25" i="1" a="1"/>
  <c r="C11" i="1" a="1"/>
  <c r="C24" i="1" a="1"/>
  <c r="C23" i="1" a="1"/>
  <c r="C19" i="1" a="1"/>
  <c r="C28" i="1" a="1"/>
  <c r="C27" i="1" a="1"/>
  <c r="C22" i="1" a="1"/>
  <c r="C17" i="1" a="1"/>
  <c r="C5" i="1" a="1"/>
  <c r="C6" i="1" a="1"/>
  <c r="C17" i="1" l="1"/>
  <c r="C22" i="1"/>
  <c r="C27" i="1"/>
  <c r="C28" i="1"/>
  <c r="C19" i="1"/>
  <c r="C23" i="1"/>
  <c r="C24" i="1"/>
  <c r="C11" i="1"/>
  <c r="C25" i="1"/>
  <c r="C8" i="1"/>
  <c r="C9" i="1"/>
  <c r="C10" i="1"/>
  <c r="C29" i="1"/>
  <c r="C16" i="1"/>
  <c r="C30" i="1"/>
  <c r="C18" i="1"/>
  <c r="C7" i="1"/>
  <c r="C21" i="1"/>
  <c r="C13" i="1"/>
  <c r="C14" i="1"/>
  <c r="C15" i="1"/>
  <c r="C20" i="1"/>
  <c r="C12" i="1"/>
  <c r="C26" i="1"/>
  <c r="C6" i="1"/>
  <c r="C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<sst xmlns="http://schemas.openxmlformats.org/spreadsheetml/2006/main" count="9" uniqueCount="9">
  <si>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Binary string</t>
  </si>
  <si>
    <t>Badge Parse Settings</t>
  </si>
  <si>
    <t>bit length (auto)</t>
  </si>
  <si>
    <t>Start Position</t>
  </si>
  <si>
    <t>Length</t>
  </si>
  <si>
    <t>6</t>
  </si>
  <si>
    <t>34</t>
  </si>
  <si>
    <t>0001010110010110100011000101010100100010</t>
  </si>
  <si>
    <t>000000000001010110110010000000000000010011011010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</si>
</sst>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49" fontId="0" fillId="4" borderId="6" xfId="0" applyNumberFormat="1" applyFill="1" applyBorder="1" applyAlignment="1" applyProtection="1">
      <alignment horizontal="left" vertical="center"/>
      <protection locked="0"/>
    </xf>
    <xf numFmtId="49" fontId="0" fillId="4" borderId="6" xfId="0" applyNumberFormat="1" applyFill="1" applyBorder="1" applyAlignment="1" applyProtection="1">
      <alignment horizontal="center" vertical="center"/>
      <protection locked="0"/>
    </xf>
    <xf numFmtId="49" fontId="0" fillId="4" borderId="3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9525</xdr:rowOff>
        </xdr:from>
        <xdr:to>
          <xdr:col>14</xdr:col>
          <xdr:colOff>276225</xdr:colOff>
          <xdr:row>16</xdr:row>
          <xdr:rowOff>95250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D783316-58C0-A2A7-E4EC-DBF1F1AEC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AB11-0A63-41CF-A940-C5C80D5A01B2}">
  <sheetPr codeName="Sheet1"/>
  <dimension ref="A1:AD50"/>
  <sheetViews>
    <sheetView tabSelected="1" workbookViewId="0">
      <selection activeCell="C9" sqref="C9"/>
    </sheetView>
  </sheetViews>
  <sheetFormatPr defaultRowHeight="15" x14ac:dyDescent="0.25"/>
  <cols>
    <col min="2" max="2" width="50.42578125" bestFit="1" customWidth="1"/>
    <col min="3" max="4" width="20.7109375" customWidth="1"/>
    <col min="5" max="5" width="15.140625" bestFit="1" customWidth="1"/>
  </cols>
  <sheetData>
    <row r="1" spans="1:30" ht="20.100000000000001" customHeight="1" x14ac:dyDescent="0.25">
      <c r="A1" s="1"/>
      <c r="B1" s="1"/>
      <c r="C1" s="1"/>
      <c r="D1" s="1"/>
      <c r="E1" s="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0.100000000000001" customHeight="1" x14ac:dyDescent="0.25">
      <c r="A2" s="1"/>
      <c r="B2" s="3" t="s">
        <v>0</v>
      </c>
      <c r="C2" s="4" t="s">
        <v>1</v>
      </c>
      <c r="D2" s="5"/>
      <c r="E2" s="6" t="s">
        <v>2</v>
      </c>
      <c r="F2" s="7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20.100000000000001" customHeight="1" x14ac:dyDescent="0.25">
      <c r="A3" s="1"/>
      <c r="B3" s="8"/>
      <c r="C3" s="9" t="s">
        <v>3</v>
      </c>
      <c r="D3" s="10" t="s">
        <v>4</v>
      </c>
      <c r="E3" s="11"/>
      <c r="F3" s="7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0.100000000000001" customHeight="1" x14ac:dyDescent="0.25">
      <c r="A4" s="1"/>
      <c r="B4" s="12"/>
      <c r="C4" s="20" t="s">
        <v>5</v>
      </c>
      <c r="D4" s="21" t="s">
        <v>6</v>
      </c>
      <c r="E4" s="13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9" t="s">
        <v>7</v>
      </c>
      <c r="C5" s="14" cm="1">
        <f t="array" ref="C5">IF(B5="","NA",binary_to_decimal(MID(B5,$C$4,$D$4)))</f>
        <v>12000307857</v>
      </c>
      <c r="D5" s="15"/>
      <c r="E5" s="16">
        <f t="shared" ref="E5:E6" si="0">IF(B5="","NA",LEN(B5))</f>
        <v>40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9" t="s">
        <v>8</v>
      </c>
      <c r="C6" s="17" cm="1">
        <f t="array" ref="C6">IF(B6="","NA",binary_to_decimal(MID(B6,$C$4,$D$4)))</f>
        <v>181993474</v>
      </c>
      <c r="D6" s="18"/>
      <c r="E6" s="16">
        <f t="shared" si="0"/>
        <v>48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9"/>
      <c r="C7" s="17" t="str" cm="1">
        <f t="array" ref="C7">IF(B7="","NA",binary_to_decimal(MID(B7,$C$4,$D$4)))</f>
        <v>NA</v>
      </c>
      <c r="D7" s="18"/>
      <c r="E7" s="16" t="str">
        <f t="shared" ref="E7:E30" si="1">IF(B7="","NA",LEN(B7))</f>
        <v>NA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9"/>
      <c r="C8" s="17" t="str" cm="1">
        <f t="array" ref="C8">IF(B8="","NA",binary_to_decimal(MID(B8,$C$4,$D$4)))</f>
        <v>NA</v>
      </c>
      <c r="D8" s="18"/>
      <c r="E8" s="16" t="str">
        <f t="shared" si="1"/>
        <v>NA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9"/>
      <c r="C9" s="17" t="str" cm="1">
        <f t="array" ref="C9">IF(B9="","NA",binary_to_decimal(MID(B9,$C$4,$D$4)))</f>
        <v>NA</v>
      </c>
      <c r="D9" s="18"/>
      <c r="E9" s="16" t="str">
        <f t="shared" si="1"/>
        <v>NA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9"/>
      <c r="C10" s="17" t="str" cm="1">
        <f t="array" ref="C10">IF(B10="","NA",binary_to_decimal(MID(B10,$C$4,$D$4)))</f>
        <v>NA</v>
      </c>
      <c r="D10" s="18"/>
      <c r="E10" s="16" t="str">
        <f t="shared" si="1"/>
        <v>NA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9"/>
      <c r="C11" s="17" t="str" cm="1">
        <f t="array" ref="C11">IF(B11="","NA",binary_to_decimal(MID(B11,$C$4,$D$4)))</f>
        <v>NA</v>
      </c>
      <c r="D11" s="18"/>
      <c r="E11" s="16" t="str">
        <f t="shared" si="1"/>
        <v>NA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9"/>
      <c r="C12" s="17" t="str" cm="1">
        <f t="array" ref="C12">IF(B12="","NA",binary_to_decimal(MID(B12,$C$4,$D$4)))</f>
        <v>NA</v>
      </c>
      <c r="D12" s="18"/>
      <c r="E12" s="16" t="str">
        <f t="shared" si="1"/>
        <v>NA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9"/>
      <c r="C13" s="17" t="str" cm="1">
        <f t="array" ref="C13">IF(B13="","NA",binary_to_decimal(MID(B13,$C$4,$D$4)))</f>
        <v>NA</v>
      </c>
      <c r="D13" s="18"/>
      <c r="E13" s="16" t="str">
        <f t="shared" si="1"/>
        <v>NA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9"/>
      <c r="C14" s="17" t="str" cm="1">
        <f t="array" ref="C14">IF(B14="","NA",binary_to_decimal(MID(B14,$C$4,$D$4)))</f>
        <v>NA</v>
      </c>
      <c r="D14" s="18"/>
      <c r="E14" s="16" t="str">
        <f t="shared" si="1"/>
        <v>NA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9"/>
      <c r="C15" s="17" t="str" cm="1">
        <f t="array" ref="C15">IF(B15="","NA",binary_to_decimal(MID(B15,$C$4,$D$4)))</f>
        <v>NA</v>
      </c>
      <c r="D15" s="18"/>
      <c r="E15" s="16" t="str">
        <f t="shared" si="1"/>
        <v>NA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9"/>
      <c r="C16" s="17" t="str" cm="1">
        <f t="array" ref="C16">IF(B16="","NA",binary_to_decimal(MID(B16,$C$4,$D$4)))</f>
        <v>NA</v>
      </c>
      <c r="D16" s="18"/>
      <c r="E16" s="16" t="str">
        <f t="shared" si="1"/>
        <v>NA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9"/>
      <c r="C17" s="17" t="str" cm="1">
        <f t="array" ref="C17">IF(B17="","NA",binary_to_decimal(MID(B17,$C$4,$D$4)))</f>
        <v>NA</v>
      </c>
      <c r="D17" s="18"/>
      <c r="E17" s="16" t="str">
        <f t="shared" si="1"/>
        <v>NA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9"/>
      <c r="C18" s="17" t="str" cm="1">
        <f t="array" ref="C18">IF(B18="","NA",binary_to_decimal(MID(B18,$C$4,$D$4)))</f>
        <v>NA</v>
      </c>
      <c r="D18" s="18"/>
      <c r="E18" s="16" t="str">
        <f t="shared" si="1"/>
        <v>NA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9"/>
      <c r="C19" s="17" t="str" cm="1">
        <f t="array" ref="C19">IF(B19="","NA",binary_to_decimal(MID(B19,$C$4,$D$4)))</f>
        <v>NA</v>
      </c>
      <c r="D19" s="18"/>
      <c r="E19" s="16" t="str">
        <f t="shared" si="1"/>
        <v>NA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9"/>
      <c r="C20" s="17" t="str" cm="1">
        <f t="array" ref="C20">IF(B20="","NA",binary_to_decimal(MID(B20,$C$4,$D$4)))</f>
        <v>NA</v>
      </c>
      <c r="D20" s="18"/>
      <c r="E20" s="16" t="str">
        <f t="shared" si="1"/>
        <v>NA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9"/>
      <c r="C21" s="17" t="str" cm="1">
        <f t="array" ref="C21">IF(B21="","NA",binary_to_decimal(MID(B21,$C$4,$D$4)))</f>
        <v>NA</v>
      </c>
      <c r="D21" s="18"/>
      <c r="E21" s="16" t="str">
        <f t="shared" si="1"/>
        <v>NA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9"/>
      <c r="C22" s="17" t="str" cm="1">
        <f t="array" ref="C22">IF(B22="","NA",binary_to_decimal(MID(B22,$C$4,$D$4)))</f>
        <v>NA</v>
      </c>
      <c r="D22" s="18"/>
      <c r="E22" s="16" t="str">
        <f t="shared" si="1"/>
        <v>NA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9"/>
      <c r="C23" s="17" t="str" cm="1">
        <f t="array" ref="C23">IF(B23="","NA",binary_to_decimal(MID(B23,$C$4,$D$4)))</f>
        <v>NA</v>
      </c>
      <c r="D23" s="18"/>
      <c r="E23" s="16" t="str">
        <f t="shared" si="1"/>
        <v>NA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9"/>
      <c r="C24" s="17" t="str" cm="1">
        <f t="array" ref="C24">IF(B24="","NA",binary_to_decimal(MID(B24,$C$4,$D$4)))</f>
        <v>NA</v>
      </c>
      <c r="D24" s="18"/>
      <c r="E24" s="16" t="str">
        <f t="shared" si="1"/>
        <v>NA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9"/>
      <c r="C25" s="17" t="str" cm="1">
        <f t="array" ref="C25">IF(B25="","NA",binary_to_decimal(MID(B25,$C$4,$D$4)))</f>
        <v>NA</v>
      </c>
      <c r="D25" s="18"/>
      <c r="E25" s="16" t="str">
        <f t="shared" si="1"/>
        <v>NA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9"/>
      <c r="C26" s="17" t="str" cm="1">
        <f t="array" ref="C26">IF(B26="","NA",binary_to_decimal(MID(B26,$C$4,$D$4)))</f>
        <v>NA</v>
      </c>
      <c r="D26" s="18"/>
      <c r="E26" s="16" t="str">
        <f t="shared" si="1"/>
        <v>NA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9"/>
      <c r="C27" s="17" t="str" cm="1">
        <f t="array" ref="C27">IF(B27="","NA",binary_to_decimal(MID(B27,$C$4,$D$4)))</f>
        <v>NA</v>
      </c>
      <c r="D27" s="18"/>
      <c r="E27" s="16" t="str">
        <f t="shared" si="1"/>
        <v>NA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9"/>
      <c r="C28" s="17" t="str" cm="1">
        <f t="array" ref="C28">IF(B28="","NA",binary_to_decimal(MID(B28,$C$4,$D$4)))</f>
        <v>NA</v>
      </c>
      <c r="D28" s="18"/>
      <c r="E28" s="16" t="str">
        <f t="shared" si="1"/>
        <v>NA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9"/>
      <c r="C29" s="17" t="str" cm="1">
        <f t="array" ref="C29">IF(B29="","NA",binary_to_decimal(MID(B29,$C$4,$D$4)))</f>
        <v>NA</v>
      </c>
      <c r="D29" s="18"/>
      <c r="E29" s="16" t="str">
        <f t="shared" si="1"/>
        <v>NA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9"/>
      <c r="C30" s="17" t="str" cm="1">
        <f t="array" ref="C30">IF(B30="","NA",binary_to_decimal(MID(B30,$C$4,$D$4)))</f>
        <v>NA</v>
      </c>
      <c r="D30" s="18"/>
      <c r="E30" s="16" t="str">
        <f t="shared" si="1"/>
        <v>NA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</sheetData>
  <sheetProtection algorithmName="SHA-512" hashValue="2EDIZiLauC+QK9qL/AD1mmU9qpripTdawWj2lATgKVARE8mFasvdodA/J3S/i7/AM7Y2UKG4XEW4OWr1852HEQ==" saltValue="QfqoL3tbAEwdlx6XVzJvAQ==" spinCount="100000" sheet="1" objects="1" scenarios="1"/>
  <mergeCells count="4">
    <mergeCell ref="B2:B4"/>
    <mergeCell ref="C2:D2"/>
    <mergeCell ref="E2:E4"/>
    <mergeCell ref="C5:D5"/>
  </mergeCells>
  <conditionalFormatting sqref="C5:C30">
    <cfRule type="expression" dxfId="0" priority="1">
      <formula>AND(#REF!&lt;&gt;"NA",#REF!=C$4)</formula>
    </cfRule>
  </conditionalFormatting>
  <pageMargins left="0.7" right="0.7" top="0.75" bottom="0.75" header="0.3" footer="0.3"/>
  <ignoredErrors>
    <ignoredError sqref="B6:B30 D4" numberStoredAsText="1"/>
  </ignoredErrors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r:id="rId4">
            <anchor>
              <from>
                <xdr:col>5</xdr:col>
                <xdr:colOff>266700</xdr:colOff>
                <xdr:row>1</xdr:row>
                <xdr:rowOff>9525</xdr:rowOff>
              </from>
              <to>
                <xdr:col>14</xdr:col>
                <xdr:colOff>276225</xdr:colOff>
                <xdr:row>16</xdr:row>
                <xdr:rowOff>95250</xdr:rowOff>
              </to>
            </anchor>
          </controlPr>
        </control>
      </mc:Choice>
      <mc:Fallback>
        <control shapeId="1025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Hall</dc:creator>
  <cp:lastModifiedBy>Jason Hall</cp:lastModifiedBy>
  <dcterms:created xsi:type="dcterms:W3CDTF">2024-12-10T17:28:50Z</dcterms:created>
  <dcterms:modified xsi:type="dcterms:W3CDTF">2024-12-10T17:39:10Z</dcterms:modified>
</cp:coreProperties>
</file>