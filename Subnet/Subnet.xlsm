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Subnet/"/>
    </mc:Choice>
  </mc:AlternateContent>
  <xr:revisionPtr revIDLastSave="2866" documentId="10_ncr:40000_{22D5B2C5-3029-4EB2-8D7B-732FD5004C47}" xr6:coauthVersionLast="47" xr6:coauthVersionMax="47" xr10:uidLastSave="{F29B93F7-289D-4944-811F-EF92DEE13D53}"/>
  <bookViews>
    <workbookView xWindow="28680" yWindow="2415" windowWidth="24240" windowHeight="131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 a="1"/>
  <c r="J5" i="1" a="1"/>
  <c r="I5" i="1" a="1"/>
  <c r="H5" i="1" a="1"/>
  <c r="I3" i="1" a="1"/>
  <c r="H3" i="1" a="1"/>
  <c r="K3" i="1" a="1"/>
  <c r="J3" i="1" a="1"/>
  <c r="F7" i="1" a="1"/>
  <c r="K5" i="1" a="1"/>
  <c r="F10" i="1" a="1"/>
  <c r="E10" i="1" a="1"/>
  <c r="J4" i="1" a="1"/>
  <c r="E7" i="1" a="1"/>
  <c r="I4" i="1" a="1"/>
  <c r="D7" i="1" a="1"/>
  <c r="D10" i="1" a="1"/>
  <c r="H4" i="1" a="1"/>
  <c r="C7" i="1" a="1"/>
  <c r="C10" i="1" a="1"/>
  <c r="I5" i="1" l="1"/>
  <c r="E7" i="1"/>
  <c r="E8" i="1" s="1"/>
  <c r="F7" i="1"/>
  <c r="F8" i="1" s="1"/>
  <c r="C7" i="1"/>
  <c r="C8" i="1" s="1"/>
  <c r="I3" i="1"/>
  <c r="C10" i="1"/>
  <c r="C9" i="1" s="1"/>
  <c r="I4" i="1"/>
  <c r="J4" i="1"/>
  <c r="K5" i="1"/>
  <c r="H3" i="1"/>
  <c r="D10" i="1"/>
  <c r="D9" i="1" s="1"/>
  <c r="J3" i="1"/>
  <c r="J5" i="1"/>
  <c r="H4" i="1"/>
  <c r="E10" i="1"/>
  <c r="E9" i="1" s="1"/>
  <c r="D7" i="1"/>
  <c r="D8" i="1" s="1"/>
  <c r="K4" i="1"/>
  <c r="K3" i="1"/>
  <c r="H5" i="1"/>
  <c r="F10" i="1"/>
  <c r="F9" i="1" s="1"/>
  <c r="E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<sst xmlns="http://schemas.openxmlformats.org/spreadsheetml/2006/main" count="14" uniqueCount="13">
  <si>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Device Address</t>
  </si>
  <si>
    <t>Gateway</t>
  </si>
  <si>
    <t>Decimal</t>
  </si>
  <si>
    <t>Binary</t>
  </si>
  <si>
    <t>Start</t>
  </si>
  <si>
    <t>End</t>
  </si>
  <si>
    <t>Device Address In Correct Subnet</t>
  </si>
  <si>
    <t>Network (reserved)</t>
  </si>
  <si>
    <t>Broadcast (reserved)</t>
  </si>
  <si>
    <t>Gateway Subnet Mask</t>
  </si>
  <si>
    <t>Valid subnet mask numbers -&gt; 128    192    224    240    248    252    254    255</t>
  </si>
  <si>
    <t>Valid address numbers -&gt; 0-255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</si>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</sst>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D6DCE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0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D6DCE4"/>
      <color rgb="FFFFFF8F"/>
      <color rgb="FFFFE697"/>
      <color rgb="FFE1F7FF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6</xdr:row>
          <xdr:rowOff>19050</xdr:rowOff>
        </xdr:from>
        <xdr:to>
          <xdr:col>19</xdr:col>
          <xdr:colOff>0</xdr:colOff>
          <xdr:row>19</xdr:row>
          <xdr:rowOff>180975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tabSelected="1" workbookViewId="0">
      <selection activeCell="F5" sqref="F5"/>
    </sheetView>
  </sheetViews>
  <sheetFormatPr defaultRowHeight="15" x14ac:dyDescent="0.25"/>
  <cols>
    <col min="1" max="1" width="9.140625" style="1"/>
    <col min="2" max="2" width="20.42578125" style="1" bestFit="1" customWidth="1"/>
    <col min="3" max="5" width="7.28515625" style="1" bestFit="1" customWidth="1"/>
    <col min="6" max="6" width="8.42578125" style="1" bestFit="1" customWidth="1"/>
    <col min="7" max="7" width="9.140625" style="1"/>
    <col min="8" max="11" width="9" style="1" bestFit="1" customWidth="1"/>
    <col min="12" max="15" width="9.140625" style="1"/>
    <col min="16" max="16" width="29.7109375" style="1" bestFit="1" customWidth="1"/>
    <col min="17" max="16384" width="9.140625" style="1"/>
  </cols>
  <sheetData>
    <row r="1" spans="1:2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2"/>
      <c r="B2" s="13" t="s">
        <v>2</v>
      </c>
      <c r="C2" s="13"/>
      <c r="D2" s="13"/>
      <c r="E2" s="13"/>
      <c r="F2" s="13"/>
      <c r="G2" s="2"/>
      <c r="H2" s="11" t="s">
        <v>3</v>
      </c>
      <c r="I2" s="11"/>
      <c r="J2" s="11"/>
      <c r="K2" s="1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/>
      <c r="B3" s="5" t="s">
        <v>0</v>
      </c>
      <c r="C3" s="5">
        <v>192</v>
      </c>
      <c r="D3" s="5">
        <v>168</v>
      </c>
      <c r="E3" s="5">
        <v>2</v>
      </c>
      <c r="F3" s="5">
        <v>254</v>
      </c>
      <c r="G3" s="2"/>
      <c r="H3" s="1" t="str" cm="1">
        <f t="array" ref="H3">decimal_to_binary(C3)</f>
        <v>11000000</v>
      </c>
      <c r="I3" s="1" t="str" cm="1">
        <f t="array" ref="I3">decimal_to_binary(D3)</f>
        <v>10101000</v>
      </c>
      <c r="J3" s="1" t="str" cm="1">
        <f t="array" ref="J3">decimal_to_binary(E3)</f>
        <v>00000010</v>
      </c>
      <c r="K3" s="1" t="str" cm="1">
        <f t="array" ref="K3">decimal_to_binary(F3)</f>
        <v>11111110</v>
      </c>
      <c r="L3" s="2"/>
      <c r="M3" s="9" t="s">
        <v>11</v>
      </c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2"/>
    </row>
    <row r="4" spans="1:26" x14ac:dyDescent="0.25">
      <c r="A4" s="2"/>
      <c r="B4" s="7" t="s">
        <v>1</v>
      </c>
      <c r="C4" s="1">
        <v>198</v>
      </c>
      <c r="D4" s="1">
        <v>190</v>
      </c>
      <c r="E4" s="1">
        <v>213</v>
      </c>
      <c r="F4" s="1">
        <v>1</v>
      </c>
      <c r="G4" s="2"/>
      <c r="H4" s="1" t="str" cm="1">
        <f t="array" ref="H4">decimal_to_binary(C4)</f>
        <v>11000110</v>
      </c>
      <c r="I4" s="1" t="str" cm="1">
        <f t="array" ref="I4">decimal_to_binary(D4)</f>
        <v>10111110</v>
      </c>
      <c r="J4" s="1" t="str" cm="1">
        <f t="array" ref="J4">decimal_to_binary(E4)</f>
        <v>11010101</v>
      </c>
      <c r="K4" s="1" t="str" cm="1">
        <f t="array" ref="K4">decimal_to_binary(F4)</f>
        <v>00000001</v>
      </c>
      <c r="L4" s="2"/>
      <c r="M4" s="10" t="s">
        <v>11</v>
      </c>
      <c r="N4" s="10"/>
      <c r="O4" s="10"/>
      <c r="P4" s="10"/>
      <c r="Q4" s="10"/>
      <c r="R4" s="10"/>
      <c r="S4" s="10"/>
      <c r="T4" s="2"/>
      <c r="U4" s="2"/>
      <c r="V4" s="2"/>
      <c r="W4" s="2"/>
      <c r="X4" s="2"/>
      <c r="Y4" s="2"/>
      <c r="Z4" s="2"/>
    </row>
    <row r="5" spans="1:26" x14ac:dyDescent="0.25">
      <c r="A5" s="2"/>
      <c r="B5" s="6" t="s">
        <v>9</v>
      </c>
      <c r="C5" s="1">
        <v>255</v>
      </c>
      <c r="D5" s="1">
        <v>255</v>
      </c>
      <c r="E5" s="1">
        <v>255</v>
      </c>
      <c r="F5" s="1">
        <v>0</v>
      </c>
      <c r="G5" s="2"/>
      <c r="H5" s="1" t="str" cm="1">
        <f t="array" ref="H5">decimal_to_binary(C5)</f>
        <v>11111111</v>
      </c>
      <c r="I5" s="1" t="str" cm="1">
        <f t="array" ref="I5">decimal_to_binary(D5)</f>
        <v>11111111</v>
      </c>
      <c r="J5" s="1" t="str" cm="1">
        <f t="array" ref="J5">decimal_to_binary(E5)</f>
        <v>11111111</v>
      </c>
      <c r="K5" s="1" t="str" cm="1">
        <f t="array" ref="K5">decimal_to_binary(F5)</f>
        <v>00000000</v>
      </c>
      <c r="L5" s="2"/>
      <c r="M5" s="8" t="s">
        <v>10</v>
      </c>
      <c r="N5" s="8"/>
      <c r="O5" s="8"/>
      <c r="P5" s="8"/>
      <c r="Q5" s="8"/>
      <c r="R5" s="8"/>
      <c r="S5" s="8"/>
      <c r="T5" s="2"/>
      <c r="U5" s="2"/>
      <c r="V5" s="2"/>
      <c r="W5" s="2"/>
      <c r="X5" s="2"/>
      <c r="Y5" s="2"/>
      <c r="Z5" s="2"/>
    </row>
    <row r="6" spans="1:26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2"/>
      <c r="B7" s="4" t="s">
        <v>7</v>
      </c>
      <c r="C7" s="4" cm="1">
        <f t="array" ref="C7">get_octet_range(decimal_to_binary(C4),decimal_to_binary(C5),"start")</f>
        <v>198</v>
      </c>
      <c r="D7" s="4" cm="1">
        <f t="array" ref="D7">get_octet_range(decimal_to_binary(D4),decimal_to_binary(D5),"start")</f>
        <v>190</v>
      </c>
      <c r="E7" s="4" cm="1">
        <f t="array" ref="E7">get_octet_range(decimal_to_binary(E4),decimal_to_binary(E5),"start")</f>
        <v>213</v>
      </c>
      <c r="F7" s="4" cm="1">
        <f t="array" ref="F7">get_octet_range(decimal_to_binary(F4),decimal_to_binary(F5),"start")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2"/>
      <c r="B8" s="3" t="s">
        <v>4</v>
      </c>
      <c r="C8" s="3">
        <f>C7</f>
        <v>198</v>
      </c>
      <c r="D8" s="3">
        <f t="shared" ref="D8" si="0">D7</f>
        <v>190</v>
      </c>
      <c r="E8" s="3">
        <f t="shared" ref="E8" si="1">E7</f>
        <v>213</v>
      </c>
      <c r="F8" s="3">
        <f>F7+1</f>
        <v>1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2"/>
      <c r="B9" s="3" t="s">
        <v>5</v>
      </c>
      <c r="C9" s="3">
        <f>C10</f>
        <v>198</v>
      </c>
      <c r="D9" s="3">
        <f>D10</f>
        <v>190</v>
      </c>
      <c r="E9" s="3">
        <f>E10</f>
        <v>213</v>
      </c>
      <c r="F9" s="3">
        <f>F10-1</f>
        <v>254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2"/>
      <c r="B10" s="4" t="s">
        <v>8</v>
      </c>
      <c r="C10" s="4" cm="1">
        <f t="array" ref="C10">get_octet_range(decimal_to_binary(C4),decimal_to_binary(C5),"end")</f>
        <v>198</v>
      </c>
      <c r="D10" s="4" cm="1">
        <f t="array" ref="D10">get_octet_range(decimal_to_binary(D4),decimal_to_binary(D5),"end")</f>
        <v>190</v>
      </c>
      <c r="E10" s="4" cm="1">
        <f t="array" ref="E10">get_octet_range(decimal_to_binary(E4),decimal_to_binary(E5),"end")</f>
        <v>213</v>
      </c>
      <c r="F10" s="4" cm="1">
        <f t="array" ref="F10">get_octet_range(decimal_to_binary(F4),decimal_to_binary(F5),"end")</f>
        <v>255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9" t="s">
        <v>6</v>
      </c>
      <c r="C11" s="9"/>
      <c r="D11" s="9"/>
      <c r="E11" s="12" t="b">
        <f>AND(AND(C3&gt;=C8,C3&lt;=C9),AND(D3&gt;=D8,D3&lt;=D9),AND(E3&gt;=E8,E3&lt;=E9),AND(F3&gt;=F8,F3&lt;=F9))</f>
        <v>0</v>
      </c>
      <c r="F11" s="1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9"/>
      <c r="C12" s="9"/>
      <c r="D12" s="9"/>
      <c r="E12" s="12"/>
      <c r="F12" s="1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 t="s">
        <v>12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</sheetData>
  <mergeCells count="7">
    <mergeCell ref="M5:S5"/>
    <mergeCell ref="M3:S3"/>
    <mergeCell ref="M4:S4"/>
    <mergeCell ref="H2:K2"/>
    <mergeCell ref="B11:D12"/>
    <mergeCell ref="E11:F12"/>
    <mergeCell ref="B2:F2"/>
  </mergeCells>
  <conditionalFormatting sqref="C5:F5">
    <cfRule type="expression" dxfId="9" priority="9">
      <formula>NOT(is_valid_subnet_mask(C5))</formula>
    </cfRule>
    <cfRule type="expression" dxfId="8" priority="10">
      <formula>is_valid_subnet_mask(C5)</formula>
    </cfRule>
  </conditionalFormatting>
  <conditionalFormatting sqref="C3:F4">
    <cfRule type="expression" dxfId="7" priority="7">
      <formula>NOT(is_valid_octet(C3))</formula>
    </cfRule>
    <cfRule type="expression" dxfId="6" priority="8">
      <formula>is_valid_octet(C3)</formula>
    </cfRule>
  </conditionalFormatting>
  <conditionalFormatting sqref="H3:K4">
    <cfRule type="expression" dxfId="5" priority="5">
      <formula>NOT(is_valid_octet(C3))</formula>
    </cfRule>
    <cfRule type="expression" dxfId="4" priority="6">
      <formula>is_valid_octet(C3)</formula>
    </cfRule>
  </conditionalFormatting>
  <conditionalFormatting sqref="H5:K5">
    <cfRule type="expression" dxfId="3" priority="3">
      <formula>NOT(is_valid_subnet_mask(C5))</formula>
    </cfRule>
    <cfRule type="expression" dxfId="2" priority="4">
      <formula>is_valid_subnet_mask(C5)</formula>
    </cfRule>
  </conditionalFormatting>
  <conditionalFormatting sqref="E11:F12">
    <cfRule type="expression" dxfId="1" priority="1">
      <formula>NOT($E$11)</formula>
    </cfRule>
    <cfRule type="expression" dxfId="0" priority="2">
      <formula>$E$11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autoPict="0" r:id="rId4">
            <anchor moveWithCells="1">
              <from>
                <xdr:col>11</xdr:col>
                <xdr:colOff>600075</xdr:colOff>
                <xdr:row>6</xdr:row>
                <xdr:rowOff>19050</xdr:rowOff>
              </from>
              <to>
                <xdr:col>19</xdr:col>
                <xdr:colOff>0</xdr:colOff>
                <xdr:row>19</xdr:row>
                <xdr:rowOff>180975</xdr:rowOff>
              </to>
            </anchor>
          </controlPr>
        </control>
      </mc:Choice>
      <mc:Fallback>
        <control shapeId="1025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Hall</dc:creator>
  <cp:lastModifiedBy>Jason Hall</cp:lastModifiedBy>
  <dcterms:created xsi:type="dcterms:W3CDTF">2023-08-25T16:19:31Z</dcterms:created>
  <dcterms:modified xsi:type="dcterms:W3CDTF">2024-04-16T14:55:27Z</dcterms:modified>
</cp:coreProperties>
</file>